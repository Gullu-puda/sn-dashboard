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ac014886\Documents\GitHub\sn-dashboard\"/>
    </mc:Choice>
  </mc:AlternateContent>
  <bookViews>
    <workbookView xWindow="0" yWindow="0" windowWidth="22260" windowHeight="12650" activeTab="1"/>
  </bookViews>
  <sheets>
    <sheet name="Sheet2" sheetId="8" r:id="rId1"/>
    <sheet name="Current Status" sheetId="3" r:id="rId2"/>
    <sheet name="Delivered" sheetId="4" r:id="rId3"/>
    <sheet name="Summary" sheetId="7" r:id="rId4"/>
    <sheet name="Month Wise Delivery Status" sheetId="6" r:id="rId5"/>
    <sheet name="MISC" sheetId="2" r:id="rId6"/>
  </sheets>
  <definedNames>
    <definedName name="_xlnm._FilterDatabase" localSheetId="1" hidden="1">'Current Status'!$A$1:$S$24</definedName>
    <definedName name="_xlnm._FilterDatabase" localSheetId="5" hidden="1">MISC!$D$48:$E$74</definedName>
  </definedNames>
  <calcPr calcId="162913"/>
  <pivotCaches>
    <pivotCache cacheId="7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3" l="1"/>
  <c r="J4" i="3"/>
  <c r="H16" i="3" l="1"/>
  <c r="G16" i="3"/>
  <c r="I7" i="3"/>
  <c r="I4" i="3"/>
  <c r="A34" i="3" l="1"/>
  <c r="A35" i="3"/>
  <c r="H11" i="3"/>
  <c r="H12" i="3"/>
  <c r="G12" i="3"/>
  <c r="F33" i="3"/>
  <c r="F32" i="3"/>
  <c r="F31" i="3"/>
  <c r="I17" i="3" l="1"/>
  <c r="H17" i="3"/>
  <c r="I16" i="3"/>
  <c r="L13" i="3"/>
  <c r="K13" i="3"/>
  <c r="G11" i="3" l="1"/>
  <c r="J9" i="3"/>
  <c r="I9" i="3"/>
  <c r="H7" i="3"/>
  <c r="G6" i="3"/>
  <c r="H6" i="3"/>
  <c r="H4" i="3"/>
  <c r="J3" i="3"/>
  <c r="I3" i="3"/>
  <c r="J11" i="4" l="1"/>
  <c r="D7" i="7" l="1"/>
  <c r="C10" i="7"/>
  <c r="D10" i="7"/>
  <c r="G10" i="7"/>
  <c r="B10" i="7"/>
  <c r="F9" i="7"/>
  <c r="G9" i="7"/>
  <c r="E9" i="7"/>
  <c r="D9" i="7"/>
  <c r="C9" i="7"/>
  <c r="B9" i="7"/>
  <c r="G8" i="7"/>
  <c r="G7" i="7"/>
  <c r="F7" i="7"/>
  <c r="F10" i="7" s="1"/>
  <c r="F8" i="7"/>
  <c r="D8" i="7"/>
  <c r="C8" i="7"/>
  <c r="B8" i="7"/>
  <c r="E7" i="7"/>
  <c r="C7" i="7"/>
  <c r="B7" i="7"/>
  <c r="B4" i="7"/>
  <c r="J5" i="3"/>
  <c r="K8" i="3"/>
  <c r="J8" i="3"/>
  <c r="D46" i="2" l="1"/>
  <c r="A33" i="3"/>
  <c r="F18" i="4"/>
  <c r="L18" i="4"/>
  <c r="J18" i="4"/>
  <c r="K18" i="4"/>
  <c r="I5" i="3" l="1"/>
  <c r="A18" i="4"/>
  <c r="G18" i="4"/>
  <c r="H18" i="4"/>
  <c r="I18" i="4"/>
  <c r="K14" i="3" l="1"/>
  <c r="J14" i="3"/>
  <c r="J13" i="3"/>
  <c r="J2" i="3"/>
  <c r="I2" i="3"/>
  <c r="H2" i="3"/>
  <c r="A20" i="3" l="1"/>
  <c r="A21" i="3"/>
  <c r="A22" i="3"/>
  <c r="A23" i="3"/>
  <c r="A24" i="3"/>
  <c r="A25" i="3"/>
  <c r="A26" i="3"/>
  <c r="A27" i="3"/>
  <c r="A28" i="3"/>
  <c r="A29" i="3"/>
  <c r="A30" i="3"/>
  <c r="A31" i="3"/>
  <c r="A32" i="3"/>
  <c r="M18" i="3" l="1"/>
  <c r="F30" i="3" l="1"/>
  <c r="G28" i="3" l="1"/>
  <c r="G22" i="3"/>
  <c r="G17" i="3" l="1"/>
  <c r="I10" i="3"/>
  <c r="H10" i="3"/>
  <c r="H9" i="3"/>
  <c r="H5" i="3"/>
  <c r="H3" i="3"/>
  <c r="I13" i="3" l="1"/>
  <c r="I14" i="3" l="1"/>
  <c r="H14" i="3"/>
  <c r="H13" i="3"/>
  <c r="O2" i="4" l="1"/>
  <c r="O3" i="4"/>
  <c r="O6" i="4"/>
  <c r="O5" i="4"/>
  <c r="O7" i="4"/>
  <c r="O8" i="4"/>
  <c r="O9" i="4"/>
  <c r="O10" i="4"/>
  <c r="O11" i="4"/>
  <c r="O12" i="4" l="1"/>
  <c r="O13" i="4"/>
  <c r="O14" i="4"/>
  <c r="G29" i="3" l="1"/>
  <c r="G25" i="3"/>
  <c r="G24" i="3"/>
  <c r="G18" i="3" l="1"/>
  <c r="I8" i="3"/>
  <c r="G2" i="3" l="1"/>
  <c r="G5" i="3" l="1"/>
  <c r="G4" i="3"/>
  <c r="G3" i="3"/>
  <c r="G23" i="3" l="1"/>
  <c r="H8" i="3" l="1"/>
  <c r="F29" i="3" l="1"/>
  <c r="C2" i="2" l="1"/>
  <c r="D2" i="2"/>
  <c r="E2" i="2"/>
  <c r="G2" i="2"/>
  <c r="H2" i="2"/>
  <c r="C3" i="2"/>
  <c r="D3" i="2"/>
  <c r="E3" i="2"/>
  <c r="G3" i="2"/>
  <c r="H3" i="2"/>
  <c r="C4" i="2"/>
  <c r="D4" i="2"/>
  <c r="E4" i="2"/>
  <c r="F4" i="2"/>
  <c r="G4" i="2"/>
  <c r="C5" i="2"/>
  <c r="D5" i="2"/>
  <c r="E5" i="2"/>
  <c r="F5" i="2"/>
  <c r="G5" i="2"/>
  <c r="H5" i="2"/>
  <c r="C6" i="2"/>
  <c r="D6" i="2"/>
  <c r="E6" i="2"/>
  <c r="F6" i="2"/>
  <c r="G6" i="2"/>
  <c r="C7" i="2"/>
  <c r="D7" i="2"/>
  <c r="E7" i="2"/>
  <c r="F7" i="2"/>
  <c r="G7" i="2"/>
  <c r="H7" i="2"/>
  <c r="C8" i="2"/>
  <c r="D8" i="2"/>
  <c r="E8" i="2"/>
  <c r="F8" i="2"/>
  <c r="G8" i="2"/>
  <c r="C9" i="2"/>
  <c r="D9" i="2"/>
  <c r="G9" i="2"/>
  <c r="C10" i="2"/>
  <c r="D10" i="2"/>
  <c r="G10" i="2"/>
  <c r="C11" i="2"/>
  <c r="D11" i="2"/>
  <c r="E11" i="2"/>
  <c r="H11" i="2" s="1"/>
  <c r="G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G23" i="2"/>
  <c r="G24" i="2"/>
  <c r="G25" i="2"/>
  <c r="F3" i="3"/>
  <c r="F28" i="3"/>
  <c r="F27" i="3"/>
  <c r="F25" i="3"/>
  <c r="H4" i="2" l="1"/>
  <c r="H6" i="2"/>
  <c r="H10" i="2"/>
  <c r="H9" i="2"/>
  <c r="H8" i="2"/>
  <c r="G15" i="3"/>
  <c r="A15" i="4"/>
  <c r="A16" i="4"/>
  <c r="A17" i="4"/>
  <c r="F17" i="4"/>
  <c r="L17" i="4"/>
  <c r="K17" i="4"/>
  <c r="J17" i="4"/>
  <c r="I17" i="4"/>
  <c r="H17" i="4"/>
  <c r="G17" i="4"/>
  <c r="A19" i="3" l="1"/>
  <c r="A18" i="3"/>
  <c r="A17" i="3"/>
  <c r="A16" i="3"/>
  <c r="A15" i="3"/>
  <c r="A14" i="3"/>
  <c r="A13" i="3"/>
  <c r="A12" i="3"/>
  <c r="F26" i="3" l="1"/>
  <c r="G20" i="3" l="1"/>
  <c r="F16" i="4" l="1"/>
  <c r="G19" i="3" l="1"/>
  <c r="B3" i="7" l="1"/>
  <c r="F24" i="3" l="1"/>
  <c r="G9" i="3" l="1"/>
  <c r="G13" i="3" l="1"/>
  <c r="G7" i="3"/>
  <c r="G8" i="3" l="1"/>
  <c r="L15" i="4" l="1"/>
  <c r="K15" i="4"/>
  <c r="G14" i="3"/>
  <c r="F21" i="3" l="1"/>
  <c r="M15" i="4" l="1"/>
  <c r="K12" i="4"/>
  <c r="J12" i="4"/>
  <c r="I12" i="4"/>
  <c r="H12" i="4"/>
  <c r="L12" i="4"/>
  <c r="L6" i="4"/>
  <c r="L4" i="4"/>
  <c r="L5" i="4"/>
  <c r="F22" i="3"/>
  <c r="F15" i="4"/>
  <c r="G15" i="4"/>
  <c r="H15" i="4"/>
  <c r="I15" i="4"/>
  <c r="J15" i="4"/>
  <c r="C6" i="6" l="1"/>
  <c r="C7" i="6"/>
  <c r="C8" i="6"/>
  <c r="C9" i="6"/>
  <c r="C10" i="6"/>
  <c r="G10" i="3" l="1"/>
  <c r="F14" i="3"/>
  <c r="F14" i="4" l="1"/>
  <c r="F12" i="4"/>
  <c r="F13" i="4"/>
  <c r="F23" i="3" l="1"/>
  <c r="F12" i="3"/>
  <c r="A12" i="4" l="1"/>
  <c r="G12" i="4"/>
  <c r="L10" i="4" l="1"/>
  <c r="I10" i="4"/>
  <c r="J10" i="4" l="1"/>
  <c r="K10" i="4"/>
  <c r="L14" i="4" l="1"/>
  <c r="A14" i="4" l="1"/>
  <c r="G14" i="4"/>
  <c r="H14" i="4"/>
  <c r="I14" i="4"/>
  <c r="J14" i="4"/>
  <c r="K14" i="4"/>
  <c r="A13" i="4"/>
  <c r="G13" i="4"/>
  <c r="H13" i="4"/>
  <c r="I13" i="4"/>
  <c r="J13" i="4"/>
  <c r="K13" i="4"/>
  <c r="A11" i="3" l="1"/>
  <c r="A10" i="3"/>
  <c r="A9" i="3"/>
  <c r="F11" i="3"/>
  <c r="F11" i="4"/>
  <c r="C4" i="7" l="1"/>
  <c r="L11" i="4"/>
  <c r="A11" i="4"/>
  <c r="G11" i="4"/>
  <c r="H11" i="4"/>
  <c r="I11" i="4"/>
  <c r="E8" i="7"/>
  <c r="K11" i="4"/>
  <c r="E10" i="7" l="1"/>
  <c r="F20" i="3"/>
  <c r="F19" i="3" l="1"/>
  <c r="F15" i="3"/>
  <c r="L9" i="4" l="1"/>
  <c r="K9" i="4"/>
  <c r="J9" i="4"/>
  <c r="K8" i="4"/>
  <c r="L8" i="4"/>
  <c r="F18" i="3" l="1"/>
  <c r="F17" i="3"/>
  <c r="A10" i="4" l="1"/>
  <c r="G10" i="4"/>
  <c r="H10" i="4"/>
  <c r="A9" i="4"/>
  <c r="G9" i="4"/>
  <c r="H9" i="4"/>
  <c r="I9" i="4"/>
  <c r="F16" i="3" l="1"/>
  <c r="A2" i="3" l="1"/>
  <c r="A5" i="3"/>
  <c r="A6" i="3"/>
  <c r="A3" i="3"/>
  <c r="A8" i="3"/>
  <c r="A7" i="3"/>
  <c r="A4" i="3"/>
  <c r="G8" i="4"/>
  <c r="H8" i="4"/>
  <c r="I8" i="4"/>
  <c r="J8" i="4"/>
  <c r="G7" i="4" l="1"/>
  <c r="H7" i="4"/>
  <c r="I7" i="4"/>
  <c r="J7" i="4"/>
  <c r="K7" i="4"/>
  <c r="L7" i="4"/>
  <c r="K6" i="4" l="1"/>
  <c r="J6" i="4"/>
  <c r="I6" i="4"/>
  <c r="H6" i="4"/>
  <c r="G6" i="4"/>
  <c r="K5" i="4"/>
  <c r="J5" i="4"/>
  <c r="I5" i="4"/>
  <c r="H5" i="4"/>
  <c r="G5" i="4"/>
  <c r="K4" i="4"/>
  <c r="J4" i="4"/>
  <c r="I4" i="4"/>
  <c r="H4" i="4"/>
  <c r="G4" i="4"/>
  <c r="L3" i="4"/>
  <c r="K3" i="4"/>
  <c r="J3" i="4"/>
  <c r="I3" i="4"/>
  <c r="H3" i="4"/>
  <c r="G3" i="4"/>
  <c r="F13" i="3"/>
  <c r="F10" i="3"/>
  <c r="F4" i="3"/>
  <c r="F7" i="3"/>
  <c r="F8" i="3"/>
  <c r="F6" i="3"/>
  <c r="F5" i="3"/>
  <c r="F9" i="3"/>
  <c r="F2" i="3"/>
  <c r="C3" i="7" l="1"/>
</calcChain>
</file>

<file path=xl/sharedStrings.xml><?xml version="1.0" encoding="utf-8"?>
<sst xmlns="http://schemas.openxmlformats.org/spreadsheetml/2006/main" count="509" uniqueCount="260">
  <si>
    <t>S. no</t>
  </si>
  <si>
    <t>Book ID</t>
  </si>
  <si>
    <t>MPS ID</t>
  </si>
  <si>
    <t>Stage</t>
  </si>
  <si>
    <t>Received Date (S50)</t>
  </si>
  <si>
    <t>634063_1_En</t>
  </si>
  <si>
    <t>Tortorella-PGMP1-8770423</t>
  </si>
  <si>
    <t>702137_1_En</t>
  </si>
  <si>
    <t>688480_1_En</t>
  </si>
  <si>
    <t>659832_1_En</t>
  </si>
  <si>
    <t>Iacomini-AIMN-8770513</t>
  </si>
  <si>
    <t>710724_1_En</t>
  </si>
  <si>
    <t>710736_1_En</t>
  </si>
  <si>
    <t>706770_1_En</t>
  </si>
  <si>
    <t>706769_1_En</t>
  </si>
  <si>
    <t>706767_1_En</t>
  </si>
  <si>
    <t>710919_1_En</t>
  </si>
  <si>
    <t>705744_1_En</t>
  </si>
  <si>
    <t>Sánchez, Angeles</t>
  </si>
  <si>
    <t>S200</t>
  </si>
  <si>
    <t>Bhat, Vijay Kumar</t>
  </si>
  <si>
    <t>691371_1_En</t>
  </si>
  <si>
    <t>Zawawi, Iskandar Shah Mohd</t>
  </si>
  <si>
    <t>695893_1_En</t>
  </si>
  <si>
    <t>S5</t>
  </si>
  <si>
    <t>695444_1_En</t>
  </si>
  <si>
    <t>695897_1_En</t>
  </si>
  <si>
    <t>696264_1_En</t>
  </si>
  <si>
    <t>696262_1_En</t>
  </si>
  <si>
    <t>696258_1_En</t>
  </si>
  <si>
    <t>696260_1_En</t>
  </si>
  <si>
    <t>696253_1_En</t>
  </si>
  <si>
    <t>708036_1_En</t>
  </si>
  <si>
    <t>702839_1_En</t>
  </si>
  <si>
    <t>Abarzhi, Snezhana I.</t>
  </si>
  <si>
    <t>704353_1_En</t>
  </si>
  <si>
    <t>Giordano, Andrea</t>
  </si>
  <si>
    <t>708652_1_En</t>
  </si>
  <si>
    <t>Action Required</t>
  </si>
  <si>
    <t xml:space="preserve">Total  TAT </t>
  </si>
  <si>
    <t>S300 TAT(Target:7)</t>
  </si>
  <si>
    <t>S300A TAT(Target:10)</t>
  </si>
  <si>
    <t>S600 TAT(Target:7)</t>
  </si>
  <si>
    <t>S650 TAT(Target:7)</t>
  </si>
  <si>
    <t>703192_1_En</t>
  </si>
  <si>
    <t>S650</t>
  </si>
  <si>
    <t>Current TAT (S50 onward)</t>
  </si>
  <si>
    <t>S200 TAT</t>
  </si>
  <si>
    <t>S300A TAT</t>
  </si>
  <si>
    <t>S300 TAT</t>
  </si>
  <si>
    <t>S600 TAT</t>
  </si>
  <si>
    <t>S650A TAT</t>
  </si>
  <si>
    <t>S650 TAT</t>
  </si>
  <si>
    <t>Total Chapters</t>
  </si>
  <si>
    <t>TS Pages</t>
  </si>
  <si>
    <t>Status - S200</t>
  </si>
  <si>
    <t>Status - 300</t>
  </si>
  <si>
    <t>Remarks</t>
  </si>
  <si>
    <t>S200 - Delivered on 03rd Aug
Login : 00 Chapters;
PE : 00 Chapters;
CE : 00 Chapters;
Comp : 00 Chapters;
Online Delivery : 00 Chapters</t>
  </si>
  <si>
    <t>S300 - 
Comp : 00 Chapters; 
Online Delivery : 00 Chapters
Delivered: 00 Chapters</t>
  </si>
  <si>
    <t>S200 - Delivered on 05th Aug
Login : 00 Chapters;
PE : 00 Chapters;
CE : 00 Chapters;
Comp : 00 Chapters;
Online Delivery : 00 Chapters</t>
  </si>
  <si>
    <t>S300 - 
Comp : 00 Chapters; 
Online Delivery : 01 Chapters
Delivered: 05 Chapters</t>
  </si>
  <si>
    <t>S200 - Delivered on 17th Aug
Login : 00 Chapters;
PE : 00 Chapters;
CE : 00 Chapters;
Comp : 00 Chapters;
Online Delivery : 00 Chapters</t>
  </si>
  <si>
    <t>S300 - 
Comp : 00 Chapters; 
Online Delivery : FM
Delivered: 20 Chapters</t>
  </si>
  <si>
    <t>S200 - Delivered on 24th Aug
Login : 00 Chapters;
PE : 00 Chapters;
CE : 00 Chapters;
Comp : 00 Chapters;
Online Delivery : 00 Chapters</t>
  </si>
  <si>
    <t>S300 - 
Comp : 02 Chapters; 
Online Delivery : 00 Chapters
Delivered: 08 Chapters</t>
  </si>
  <si>
    <t>S200 - Delivered on 27th Aug
Login : 00 Chapters;
PE : 00 Chapters;
CE : 00 Chapters;
Comp : 00 Chapters;
Online Delivery : 00 Chapters</t>
  </si>
  <si>
    <t>Fixed Pub Date - 25th Sep</t>
  </si>
  <si>
    <t>S200 - Delivered on 31st Aug
Login : 00 Chapters;
PE : 00 Chapters;
CE : 00 Chapters;
Comp : 00 Chapters;
Online Delivery : 00 Chapters</t>
  </si>
  <si>
    <t>S200 - 
Login : 00 Chapters;
PE : 00 Chapters;
CE : 00 Chapters;
Comp : 00 Chapters;
Online Delivery : 00 Chapters</t>
  </si>
  <si>
    <t>Fixed Pub Date - 24th Sep</t>
  </si>
  <si>
    <t>S200 - Delivered on 9th Sep
Login : 00 Chapters;
PE : 00 Chapters;
CE : 00 Chapters;
Comp : 00 Chapters;
Online Delivery : 00 Chapters</t>
  </si>
  <si>
    <t>S300A</t>
  </si>
  <si>
    <t>PRR Sent on 15th Sep</t>
  </si>
  <si>
    <t>email sent to PE (MS ISSUE)</t>
  </si>
  <si>
    <t>Received in Production on 18th Sep (2.50pm)</t>
  </si>
  <si>
    <t>PRR sent on 17th Sep</t>
  </si>
  <si>
    <t>704190_1_En</t>
  </si>
  <si>
    <t>Mindeguia-SCFE-8770433</t>
  </si>
  <si>
    <t>S200 - Delivered on 30th July
Login : 00 Chapters; 
PE : 00 Chapters;
CE : 00 Chapters;
Comp : 00 Chapters;
Online Delivery : 00 Chapters</t>
  </si>
  <si>
    <t>703415_1_En</t>
  </si>
  <si>
    <t>Wen-NFE-8770557</t>
  </si>
  <si>
    <t>S200 - Delivered on 01st Aug
Login : 00 Chapters;
PE : 00 Chapters; 
CE: 00 Chapters;
Comp: 00 Chapters
Online Delivery : 00 Chapters</t>
  </si>
  <si>
    <t xml:space="preserve">S300 - 
Comp : 00 Chapters; 
Online Delivery : 00 Chapters
Delivered: </t>
  </si>
  <si>
    <t>701319_1_En</t>
  </si>
  <si>
    <t>Wang-AIS-Vol1-8770451</t>
  </si>
  <si>
    <t>S200 - Delivered on 25th July
Login : 00 Chapters;
PE : 00 Chapters;
CE : 00 Chapters;  
Comp : 00 Chapters; 
Online Delivery : 00 Chapters</t>
  </si>
  <si>
    <t>S300 - Delivered on 12th Aug
Comp : 00 Chapters; 
Online Delivery : 00 Chapters
Delivered: 00 Chapters</t>
  </si>
  <si>
    <t>701541_1_En</t>
  </si>
  <si>
    <t>Wang-AIS-Vol2-8770450</t>
  </si>
  <si>
    <t>S200 - Delivered on 30th July
Login : 00 Chapters;
PE : 00 Chapters;
CE : 00 Chapters;
Comp : 00 Chapters; 
Online Delivery : 00 Chapters</t>
  </si>
  <si>
    <t>701545_1_En</t>
  </si>
  <si>
    <t>Wang-AIS-Vol3-8770449</t>
  </si>
  <si>
    <t>S200 - Delivered on 29th July
Login : 00 Chapters;
PE : 00 Chapters; 
CE : 00 Chapters;
Comp : 00 Chapters;
Online Delivery : 00 Chapters</t>
  </si>
  <si>
    <t>Released on 21-Sep</t>
  </si>
  <si>
    <t>Moved to accessibility on 21st</t>
  </si>
  <si>
    <t>Trapani, Ferdinando</t>
  </si>
  <si>
    <t>709492_1_En</t>
  </si>
  <si>
    <t>702446_1_En</t>
  </si>
  <si>
    <t>Released on 22-Sep</t>
  </si>
  <si>
    <t>Delayed from VE</t>
  </si>
  <si>
    <t>FM1 receipt error</t>
  </si>
  <si>
    <t>Bibri, Simon Elias</t>
  </si>
  <si>
    <t>704172_1_En</t>
  </si>
  <si>
    <t>710752_1_En</t>
  </si>
  <si>
    <t>695571_1_En</t>
  </si>
  <si>
    <t>Kalmani, Vijay</t>
  </si>
  <si>
    <t>Released on 26-Sep</t>
  </si>
  <si>
    <t>Released on 25-Sep</t>
  </si>
  <si>
    <t>708159_1_En</t>
  </si>
  <si>
    <t>Martín-Rojas, Rodrigo</t>
  </si>
  <si>
    <t>706742_1_En</t>
  </si>
  <si>
    <t>696263_1_En</t>
  </si>
  <si>
    <t>Zhou, Kun-8770838</t>
  </si>
  <si>
    <t>García-Holgado, Alicia-8771063</t>
  </si>
  <si>
    <t>Sahraoui, Zakaria-8770559</t>
  </si>
  <si>
    <t>704411_1_En</t>
  </si>
  <si>
    <t>Total No.of Titles</t>
  </si>
  <si>
    <t>Month</t>
  </si>
  <si>
    <t xml:space="preserve">Delivered Date </t>
  </si>
  <si>
    <t>Fixed Pub Date - 01st Oct- Jobsheet updation requitred, QIRA raised on 28th Sep</t>
  </si>
  <si>
    <t>Fixed Pub Date - 24th Sep, S600 awaited (Job sheet issue)</t>
  </si>
  <si>
    <t>No of titles delivered</t>
  </si>
  <si>
    <t>Mukandavire, Zindoga</t>
  </si>
  <si>
    <t>Total Avg. Aging Days</t>
  </si>
  <si>
    <t>Total Avg.Aging Days in S200</t>
  </si>
  <si>
    <t>710147_1_En</t>
  </si>
  <si>
    <t>Cheshmehzangi, Ali</t>
  </si>
  <si>
    <t xml:space="preserve">PRR Sent on 15th Sep, </t>
  </si>
  <si>
    <t>707038_1_En</t>
  </si>
  <si>
    <t>Teba, Tarek</t>
  </si>
  <si>
    <t>Ivanov, Vitalii-V3</t>
  </si>
  <si>
    <t>Ivanov, Vitalii-V2</t>
  </si>
  <si>
    <t>Ivanov, Vitalii-V1</t>
  </si>
  <si>
    <t>Month Wise Delivery Status</t>
  </si>
  <si>
    <t>Plateform</t>
  </si>
  <si>
    <t>Karakoc-AEF-8770589</t>
  </si>
  <si>
    <t>S300</t>
  </si>
  <si>
    <t>Chap-04 removed as per author instructions</t>
  </si>
  <si>
    <t>708552_1_En</t>
  </si>
  <si>
    <t>Gunka, Volodymyr</t>
  </si>
  <si>
    <t>Column1</t>
  </si>
  <si>
    <t>Grand Total</t>
  </si>
  <si>
    <t>Count of S200 TAT</t>
  </si>
  <si>
    <t>Values</t>
  </si>
  <si>
    <t>Count of S300A TAT</t>
  </si>
  <si>
    <t>Count of S600 TAT</t>
  </si>
  <si>
    <t>Count of S650 TAT</t>
  </si>
  <si>
    <t>Count of S300 TAT</t>
  </si>
  <si>
    <t>Total No of Titles in WIP</t>
  </si>
  <si>
    <t>Total Titles Delivered</t>
  </si>
  <si>
    <t>SUMMARY</t>
  </si>
  <si>
    <t>Overall Avg. Aging days</t>
  </si>
  <si>
    <t>DESCriptions</t>
  </si>
  <si>
    <t>PRR Sent on 15th Sep, Job Sheet updated for missing chapters and TOC on 10-Oct</t>
  </si>
  <si>
    <t xml:space="preserve">Tortorella-PGMP2-8770424 </t>
  </si>
  <si>
    <t>700862_1_En</t>
  </si>
  <si>
    <t>Xu-MSEM-8771092-Tex</t>
  </si>
  <si>
    <t>S200 Login</t>
  </si>
  <si>
    <t>713085_1_En</t>
  </si>
  <si>
    <t>Lo Presti, Davide</t>
  </si>
  <si>
    <t>710384_1_En</t>
  </si>
  <si>
    <t>De Marchi, Luca</t>
  </si>
  <si>
    <t>Hold for new manuscript solved. Will receive today</t>
  </si>
  <si>
    <t>Login reinstated, workflow issue solved</t>
  </si>
  <si>
    <t>WIP</t>
  </si>
  <si>
    <t>Query solved on 12-Oct(FM component recd. Autho &amp; Aff missing in chap-60)</t>
  </si>
  <si>
    <t>713564_1_En</t>
  </si>
  <si>
    <t>Tex</t>
  </si>
  <si>
    <t>Word</t>
  </si>
  <si>
    <t>Query chap 28. figs missing was reced.</t>
  </si>
  <si>
    <t>Metsoc Vol-I-8771046</t>
  </si>
  <si>
    <t>Metsoc Vol-II-8771047</t>
  </si>
  <si>
    <t>Metsoc Vol-III-8771048</t>
  </si>
  <si>
    <t>Metsoc Vol-IV-8771049</t>
  </si>
  <si>
    <t>Metsoc Vol-V-8771050</t>
  </si>
  <si>
    <t>Metsoc Vol-VII-8771052</t>
  </si>
  <si>
    <t>Metsoc Vol-VI-8771051</t>
  </si>
  <si>
    <t>Metsoc Vol-VIII-8771060</t>
  </si>
  <si>
    <t>Metsoc-Vol-IX-8771159</t>
  </si>
  <si>
    <t>Delivered</t>
  </si>
  <si>
    <t>Overall Avg. Aging 61 days</t>
  </si>
  <si>
    <t>S600</t>
  </si>
  <si>
    <t>Tex+word</t>
  </si>
  <si>
    <t>Query will be resolved after 23-oct conferences</t>
  </si>
  <si>
    <t>SL. No</t>
  </si>
  <si>
    <t>S200 - 
Login : 00 Chapters;
PE : 28 Chapters;
CE : 00 Chapters;
Comp : 00 Chapters;
Online Delivery : 00 Chapters</t>
  </si>
  <si>
    <t>Final Manuscript recd on 20th Oct</t>
  </si>
  <si>
    <t>Books should be spilit in Two vol-I and II in S600 stage</t>
  </si>
  <si>
    <t>Hold  for Manuscript</t>
  </si>
  <si>
    <t>2 in Eproof rest revises completed</t>
  </si>
  <si>
    <t>PERARNAU-DMD-Garcia-Sanchez</t>
  </si>
  <si>
    <t>AL-Emran-Ihalanayake Ranjith</t>
  </si>
  <si>
    <t>717901_1_En</t>
  </si>
  <si>
    <t>Barla, Marco</t>
  </si>
  <si>
    <t xml:space="preserve">GraySci-Template issue resolved on 6-Oct.Pls follow Instruction of  Janet provided on 22-Oct. Chap-09- "There are some things that need to be revised: 
1. The keywords for the Pasuruan regency should be Pasuruan Regency. Big R for Regency. 
2. Images on Figures 6 and 7 were reversed; the image on Figure 7 should come first. 
3. The captions on Figure 3.1 should be placed before Figure 1. 
4. The captions on Figure 4.1 should be placed before Figure 13. </t>
  </si>
  <si>
    <t>Iadanza, Ernesto-8770719</t>
  </si>
  <si>
    <t>Iadanza, Ernesto-8770689</t>
  </si>
  <si>
    <t>Iadanza, Ernesto-8770888</t>
  </si>
  <si>
    <t>MS Pages</t>
  </si>
  <si>
    <t>PRR sent on 17th Sep. Query-Reference missing and content mismatch, One new manuscript approval</t>
  </si>
  <si>
    <t>S200 - 
Login : 00 Chapters;
PE : 23 Chapters;
CE : 00 Chapters;
Comp : 00 Chapters;
Online Delivery : 00 Chapters</t>
  </si>
  <si>
    <t>28 Chaps-Rev.delivered, 3 Part in Eproof, FM-recept error</t>
  </si>
  <si>
    <t>All in revises</t>
  </si>
  <si>
    <t>S200Login</t>
  </si>
  <si>
    <t>S200 - 
Login : 00 Chapters;
PE : 42 Chapters;
CE : 00 Chapters;
Comp : 00 Chapters;
Online Delivery : 00 Chapters</t>
  </si>
  <si>
    <t>701850_1_En</t>
  </si>
  <si>
    <t>704476_1_En</t>
  </si>
  <si>
    <t>S650A</t>
  </si>
  <si>
    <t>S300 completed</t>
  </si>
  <si>
    <t>MetSoc-Vol9-8771159</t>
  </si>
  <si>
    <t>PageProof-S200</t>
  </si>
  <si>
    <t>PMApproval</t>
  </si>
  <si>
    <t>etSoc-Vol9-8771159</t>
  </si>
  <si>
    <t>S200 - 
Login : 129 Chapters;
PE : 00 Chapters;
CE : 00 Chapters;
Comp : 00 Chapters;
Online Delivery : 00 Chapters</t>
  </si>
  <si>
    <t>S200 - 
Login : 00 Chapters;
PE : 00 Chapters;
CE : 13 Chapters;
Comp : 35 Chapters;
Online Delivery : 00 Chapters</t>
  </si>
  <si>
    <t>S200 - 
Login : 01 Chapters;
PE : 21 Chapters;
CE : 18 Chapters;
Comp : 00 Chapters;
Online Delivery : 00 Chapters</t>
  </si>
  <si>
    <t>S200 - 
Login : 47 Chapters;
PE : 09 Chapters;
CE : 00 Chapters;
Comp : 00 Chapters;
Online Delivery : 00 Chapters</t>
  </si>
  <si>
    <t>S200 - 
Login : 36 Chapters;
PE : 33 Chapters;
CE : 00 Chapters;
Comp : 00 Chapters;
Online Delivery : 00 Chapters</t>
  </si>
  <si>
    <t>S200 - 
Login : 00 Chapters;
PE : 33 Chapters;
CE : 00 Chapters;
Comp : 00 Chapters;
Online Delivery : 00 Chapters</t>
  </si>
  <si>
    <t>Zi,-PIC Yunlong 8770448</t>
  </si>
  <si>
    <t>Zhan-Ventura, Michele Della-8770452</t>
  </si>
  <si>
    <t>707996_1_En</t>
  </si>
  <si>
    <t>Ullah, Abrar</t>
  </si>
  <si>
    <t>704485_1_En</t>
  </si>
  <si>
    <t>González, Carina S. González</t>
  </si>
  <si>
    <t>FM &amp; TOC will be recd in S200 stage</t>
  </si>
  <si>
    <t>Month/No Of Titles</t>
  </si>
  <si>
    <t>Sep, 9 Books</t>
  </si>
  <si>
    <t>Aug, 1 Book</t>
  </si>
  <si>
    <t>Oct 7 Books</t>
  </si>
  <si>
    <t>Average Aging  Days for past months</t>
  </si>
  <si>
    <t>Total Monthly Avg. Aging days</t>
  </si>
  <si>
    <t>Shortest TAT</t>
  </si>
  <si>
    <t>Longest TAT</t>
  </si>
  <si>
    <t>Delivered on 27th</t>
  </si>
  <si>
    <t>Delivrered</t>
  </si>
  <si>
    <t>S200 - 
Login :00 Chapters;
PE : 00 Chapters;
CE : 00 Chapters;
Comp : 00 Chapters;
Online Delivery : 00 Chapters</t>
  </si>
  <si>
    <t>11 chaps in Revises</t>
  </si>
  <si>
    <t>25 chap in Revises</t>
  </si>
  <si>
    <t>S200 - 
Login : 00 Chapters;
PE : 15 Chapters;
CE : 21 Chapters;
Comp : 00 Chapters;
Online Delivery : 00 Chapters</t>
  </si>
  <si>
    <t>S200 - 
Login : 00 Chapters;
PE :  00 Chapters;
CE : 00 Chapters;
Comp : 00 Chapters;
Online Delivery : 00 Chapters</t>
  </si>
  <si>
    <t>15 Chaps in Revises.</t>
  </si>
  <si>
    <t>S200 - 
Login : 00 Chapters;
PE : 30 Chapters;
CE : 00 Chapters;
Comp : 00 Chapters;
Online Delivery : 00 Chapters</t>
  </si>
  <si>
    <t>S200 - 
Login : 00 Chapters;
PE : 00 Chapters;
CE : 00 Chapters;
Comp : 36 Chapters;
Online Delivery : 00 Chapters</t>
  </si>
  <si>
    <t>697730_1_En</t>
  </si>
  <si>
    <t>Hameed, Alaa Ali</t>
  </si>
  <si>
    <t>S50</t>
  </si>
  <si>
    <t>13 Books</t>
  </si>
  <si>
    <t>7 Books</t>
  </si>
  <si>
    <t>S650 A</t>
  </si>
  <si>
    <t>3 Books</t>
  </si>
  <si>
    <t>S200 delivered on 27-Oct</t>
  </si>
  <si>
    <t>Query for JS regarding mismatch in chaps. BM is also there+Index</t>
  </si>
  <si>
    <t>Login moved on 29-Oct</t>
  </si>
  <si>
    <t>New manuscript recd again and chap-31 added. On 12-Oct26. Preface &amp; TOC(FM components missing), Index tagging for 2 chaps. missing reced on 28-oct</t>
  </si>
  <si>
    <t>Rahul</t>
  </si>
  <si>
    <t>Column2</t>
  </si>
  <si>
    <t>Delivered S300 on 28-Oct</t>
  </si>
  <si>
    <t>5 chap in Revises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</si>
</sst>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[Red]0"/>
    <numFmt numFmtId="165" formatCode="0_ ;[Red]\-0\ "/>
  </numFmts>
  <fonts count="32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1"/>
      <color rgb="FF000000"/>
      <name val="Aptos Narrow"/>
    </font>
    <font>
      <sz val="11"/>
      <color rgb="FF000000"/>
      <name val="Aptos Display"/>
    </font>
    <font>
      <sz val="11"/>
      <color theme="1"/>
      <name val="Calibri"/>
      <family val="2"/>
    </font>
    <font>
      <sz val="11"/>
      <color rgb="FFFF0000"/>
      <name val="Aptos Narrow"/>
    </font>
    <font>
      <sz val="8"/>
      <color rgb="FF000000"/>
      <name val="Aptos Narrow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theme="1"/>
      <name val="Aptos Display"/>
    </font>
    <font>
      <b/>
      <sz val="11"/>
      <color rgb="FF0070C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rgb="FF393939"/>
      <name val="Open Sans"/>
    </font>
    <font>
      <sz val="10"/>
      <color rgb="FF393939"/>
      <name val="Calibri"/>
      <family val="2"/>
      <scheme val="minor"/>
    </font>
    <font>
      <b/>
      <sz val="10"/>
      <color rgb="FF393939"/>
      <name val="Calibri"/>
      <family val="2"/>
      <scheme val="minor"/>
    </font>
    <font>
      <b/>
      <sz val="10"/>
      <color rgb="FF393939"/>
      <name val="Algerian"/>
      <family val="5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scheme val="minor"/>
    </font>
    <font>
      <sz val="8"/>
      <color theme="1"/>
      <name val="Calibri"/>
      <scheme val="minor"/>
    </font>
    <font>
      <b/>
      <sz val="7"/>
      <color rgb="FF393939"/>
      <name val="Open Sans"/>
    </font>
    <font>
      <b/>
      <sz val="11"/>
      <color rgb="FF000000"/>
      <name val="Aptos Display"/>
    </font>
    <font>
      <b/>
      <sz val="11"/>
      <color theme="1"/>
      <name val="Aptos Display"/>
    </font>
    <font>
      <b/>
      <sz val="10"/>
      <color rgb="FF000000"/>
      <name val="Times New Roman"/>
    </font>
  </fonts>
  <fills count="14">
    <fill>
      <patternFill patternType="none"/>
    </fill>
    <fill>
      <patternFill patternType="gray125"/>
    </fill>
    <fill>
      <patternFill patternType="solid">
        <fgColor rgb="FF83CCE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/>
  </cellStyleXfs>
  <cellXfs count="20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" fontId="0" fillId="5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5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1" fontId="3" fillId="3" borderId="7" xfId="0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16" fontId="0" fillId="5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1" fontId="3" fillId="7" borderId="1" xfId="0" applyNumberFormat="1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9" fillId="0" borderId="1" xfId="0" applyFont="1" applyBorder="1" applyAlignment="1">
      <alignment vertical="top" wrapText="1"/>
    </xf>
    <xf numFmtId="16" fontId="0" fillId="0" borderId="1" xfId="0" applyNumberFormat="1" applyBorder="1"/>
    <xf numFmtId="0" fontId="0" fillId="0" borderId="0" xfId="0" applyAlignment="1">
      <alignment horizontal="center" wrapText="1"/>
    </xf>
    <xf numFmtId="1" fontId="0" fillId="3" borderId="1" xfId="0" applyNumberFormat="1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 wrapText="1"/>
    </xf>
    <xf numFmtId="16" fontId="0" fillId="5" borderId="13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2" fillId="3" borderId="8" xfId="0" applyNumberFormat="1" applyFont="1" applyFill="1" applyBorder="1" applyAlignment="1">
      <alignment horizontal="center" vertical="center"/>
    </xf>
    <xf numFmtId="14" fontId="2" fillId="3" borderId="9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/>
    <xf numFmtId="0" fontId="2" fillId="5" borderId="1" xfId="0" applyFont="1" applyFill="1" applyBorder="1" applyAlignment="1">
      <alignment vertical="center" wrapText="1"/>
    </xf>
    <xf numFmtId="0" fontId="13" fillId="0" borderId="10" xfId="0" applyFont="1" applyBorder="1" applyAlignment="1">
      <alignment horizontal="center"/>
    </xf>
    <xf numFmtId="0" fontId="0" fillId="5" borderId="8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14" fillId="2" borderId="4" xfId="0" applyFont="1" applyFill="1" applyBorder="1" applyAlignment="1">
      <alignment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7" fontId="0" fillId="0" borderId="8" xfId="0" applyNumberForma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  <xf numFmtId="17" fontId="0" fillId="0" borderId="9" xfId="0" applyNumberFormat="1" applyBorder="1" applyAlignment="1">
      <alignment horizontal="center"/>
    </xf>
    <xf numFmtId="164" fontId="0" fillId="0" borderId="16" xfId="0" applyNumberFormat="1" applyFont="1" applyBorder="1" applyAlignment="1">
      <alignment horizontal="center"/>
    </xf>
    <xf numFmtId="0" fontId="0" fillId="0" borderId="0" xfId="0" applyBorder="1"/>
    <xf numFmtId="1" fontId="0" fillId="0" borderId="0" xfId="0" applyNumberFormat="1" applyBorder="1" applyAlignment="1">
      <alignment horizontal="center"/>
    </xf>
    <xf numFmtId="0" fontId="0" fillId="5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vertical="center" wrapText="1"/>
    </xf>
    <xf numFmtId="0" fontId="15" fillId="5" borderId="0" xfId="0" applyFont="1" applyFill="1" applyBorder="1" applyAlignment="1">
      <alignment horizontal="center" vertical="center" wrapText="1"/>
    </xf>
    <xf numFmtId="0" fontId="16" fillId="8" borderId="17" xfId="0" applyFont="1" applyFill="1" applyBorder="1" applyAlignment="1">
      <alignment vertical="top" wrapText="1"/>
    </xf>
    <xf numFmtId="0" fontId="16" fillId="8" borderId="18" xfId="0" applyFont="1" applyFill="1" applyBorder="1" applyAlignment="1">
      <alignment vertical="top" wrapText="1"/>
    </xf>
    <xf numFmtId="0" fontId="15" fillId="5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0" fontId="16" fillId="8" borderId="20" xfId="0" applyFont="1" applyFill="1" applyBorder="1" applyAlignment="1">
      <alignment vertical="top" wrapText="1"/>
    </xf>
    <xf numFmtId="0" fontId="18" fillId="9" borderId="8" xfId="0" applyFont="1" applyFill="1" applyBorder="1" applyAlignment="1">
      <alignment vertical="top" wrapText="1"/>
    </xf>
    <xf numFmtId="0" fontId="20" fillId="10" borderId="14" xfId="0" applyFont="1" applyFill="1" applyBorder="1" applyAlignment="1">
      <alignment vertical="top" wrapText="1"/>
    </xf>
    <xf numFmtId="1" fontId="17" fillId="9" borderId="14" xfId="0" applyNumberFormat="1" applyFont="1" applyFill="1" applyBorder="1" applyAlignment="1">
      <alignment horizontal="center" vertical="top" wrapText="1"/>
    </xf>
    <xf numFmtId="0" fontId="19" fillId="3" borderId="21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8" fillId="9" borderId="9" xfId="0" applyFont="1" applyFill="1" applyBorder="1" applyAlignment="1">
      <alignment vertical="top" wrapText="1"/>
    </xf>
    <xf numFmtId="1" fontId="17" fillId="9" borderId="16" xfId="0" applyNumberFormat="1" applyFont="1" applyFill="1" applyBorder="1" applyAlignment="1">
      <alignment horizontal="center" vertical="top" wrapText="1"/>
    </xf>
    <xf numFmtId="0" fontId="16" fillId="8" borderId="0" xfId="0" applyFont="1" applyFill="1" applyBorder="1" applyAlignment="1">
      <alignment vertical="top" wrapText="1"/>
    </xf>
    <xf numFmtId="0" fontId="19" fillId="3" borderId="19" xfId="0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center" wrapText="1"/>
    </xf>
    <xf numFmtId="164" fontId="0" fillId="5" borderId="1" xfId="0" applyNumberFormat="1" applyFill="1" applyBorder="1" applyAlignment="1">
      <alignment horizontal="center" vertical="center" wrapText="1"/>
    </xf>
    <xf numFmtId="0" fontId="0" fillId="5" borderId="10" xfId="0" applyFill="1" applyBorder="1" applyAlignment="1">
      <alignment wrapText="1"/>
    </xf>
    <xf numFmtId="0" fontId="0" fillId="5" borderId="0" xfId="0" applyFill="1" applyAlignment="1">
      <alignment wrapText="1"/>
    </xf>
    <xf numFmtId="165" fontId="0" fillId="5" borderId="1" xfId="0" applyNumberFormat="1" applyFill="1" applyBorder="1" applyAlignment="1">
      <alignment horizontal="center" wrapText="1"/>
    </xf>
    <xf numFmtId="16" fontId="0" fillId="5" borderId="1" xfId="0" applyNumberFormat="1" applyFill="1" applyBorder="1" applyAlignment="1">
      <alignment horizontal="center" wrapText="1"/>
    </xf>
    <xf numFmtId="0" fontId="21" fillId="5" borderId="1" xfId="0" applyFont="1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vertical="center" wrapText="1"/>
    </xf>
    <xf numFmtId="0" fontId="7" fillId="5" borderId="0" xfId="0" applyFont="1" applyFill="1" applyAlignment="1">
      <alignment wrapText="1"/>
    </xf>
    <xf numFmtId="0" fontId="7" fillId="5" borderId="10" xfId="0" applyFont="1" applyFill="1" applyBorder="1" applyAlignment="1">
      <alignment wrapText="1"/>
    </xf>
    <xf numFmtId="0" fontId="6" fillId="5" borderId="10" xfId="0" applyFont="1" applyFill="1" applyBorder="1" applyAlignment="1">
      <alignment vertical="center" wrapText="1"/>
    </xf>
    <xf numFmtId="0" fontId="3" fillId="6" borderId="13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0" fillId="5" borderId="1" xfId="0" applyNumberFormat="1" applyFill="1" applyBorder="1" applyAlignment="1">
      <alignment wrapText="1"/>
    </xf>
    <xf numFmtId="0" fontId="22" fillId="5" borderId="1" xfId="0" applyFont="1" applyFill="1" applyBorder="1" applyAlignment="1">
      <alignment horizontal="center" vertical="center" wrapText="1"/>
    </xf>
    <xf numFmtId="0" fontId="0" fillId="5" borderId="0" xfId="0" applyFill="1"/>
    <xf numFmtId="0" fontId="10" fillId="12" borderId="1" xfId="0" applyFont="1" applyFill="1" applyBorder="1" applyAlignment="1">
      <alignment horizontal="center"/>
    </xf>
    <xf numFmtId="0" fontId="23" fillId="11" borderId="1" xfId="0" applyFont="1" applyFill="1" applyBorder="1"/>
    <xf numFmtId="0" fontId="23" fillId="11" borderId="1" xfId="0" applyFont="1" applyFill="1" applyBorder="1" applyAlignment="1">
      <alignment horizontal="center"/>
    </xf>
    <xf numFmtId="0" fontId="24" fillId="13" borderId="1" xfId="0" applyFont="1" applyFill="1" applyBorder="1"/>
    <xf numFmtId="0" fontId="24" fillId="13" borderId="1" xfId="0" applyFont="1" applyFill="1" applyBorder="1" applyAlignment="1">
      <alignment horizontal="center"/>
    </xf>
    <xf numFmtId="0" fontId="6" fillId="3" borderId="10" xfId="0" applyFont="1" applyFill="1" applyBorder="1" applyAlignment="1">
      <alignment vertical="center" wrapText="1"/>
    </xf>
    <xf numFmtId="0" fontId="0" fillId="9" borderId="10" xfId="0" applyFont="1" applyFill="1" applyBorder="1" applyAlignment="1">
      <alignment horizontal="center" vertical="top" wrapText="1"/>
    </xf>
    <xf numFmtId="0" fontId="2" fillId="5" borderId="22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vertical="center" wrapText="1"/>
    </xf>
    <xf numFmtId="0" fontId="10" fillId="0" borderId="1" xfId="0" applyFont="1" applyBorder="1"/>
    <xf numFmtId="0" fontId="11" fillId="5" borderId="22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164" fontId="0" fillId="5" borderId="1" xfId="0" applyNumberFormat="1" applyFont="1" applyFill="1" applyBorder="1" applyAlignment="1">
      <alignment horizontal="center" wrapText="1"/>
    </xf>
    <xf numFmtId="165" fontId="0" fillId="5" borderId="1" xfId="0" applyNumberFormat="1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16" fontId="0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wrapText="1"/>
    </xf>
    <xf numFmtId="0" fontId="0" fillId="6" borderId="0" xfId="0" applyFill="1" applyAlignment="1">
      <alignment wrapText="1"/>
    </xf>
    <xf numFmtId="0" fontId="0" fillId="0" borderId="1" xfId="0" applyNumberFormat="1" applyBorder="1" applyAlignment="1">
      <alignment horizontal="center" vertical="center" wrapText="1"/>
    </xf>
    <xf numFmtId="16" fontId="0" fillId="5" borderId="1" xfId="0" applyNumberForma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left" vertical="center" wrapText="1"/>
    </xf>
    <xf numFmtId="0" fontId="7" fillId="5" borderId="14" xfId="0" applyFont="1" applyFill="1" applyBorder="1" applyAlignment="1">
      <alignment wrapText="1"/>
    </xf>
    <xf numFmtId="0" fontId="7" fillId="6" borderId="14" xfId="0" applyFont="1" applyFill="1" applyBorder="1" applyAlignment="1">
      <alignment wrapText="1"/>
    </xf>
    <xf numFmtId="0" fontId="7" fillId="5" borderId="16" xfId="0" applyFont="1" applyFill="1" applyBorder="1" applyAlignment="1">
      <alignment wrapText="1"/>
    </xf>
    <xf numFmtId="0" fontId="25" fillId="5" borderId="14" xfId="0" applyFont="1" applyFill="1" applyBorder="1" applyAlignment="1">
      <alignment vertical="center" wrapText="1"/>
    </xf>
    <xf numFmtId="0" fontId="2" fillId="5" borderId="14" xfId="0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wrapText="1"/>
    </xf>
    <xf numFmtId="0" fontId="10" fillId="5" borderId="1" xfId="0" applyFont="1" applyFill="1" applyBorder="1" applyAlignment="1">
      <alignment wrapText="1"/>
    </xf>
    <xf numFmtId="0" fontId="23" fillId="5" borderId="1" xfId="0" applyFont="1" applyFill="1" applyBorder="1" applyAlignment="1">
      <alignment wrapText="1"/>
    </xf>
    <xf numFmtId="0" fontId="0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/>
    </xf>
    <xf numFmtId="0" fontId="6" fillId="3" borderId="14" xfId="0" applyFont="1" applyFill="1" applyBorder="1" applyAlignment="1">
      <alignment vertical="center" wrapText="1"/>
    </xf>
    <xf numFmtId="0" fontId="0" fillId="5" borderId="8" xfId="0" applyFill="1" applyBorder="1" applyAlignment="1">
      <alignment horizontal="center" wrapText="1"/>
    </xf>
    <xf numFmtId="14" fontId="2" fillId="3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15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165" fontId="0" fillId="5" borderId="1" xfId="0" applyNumberForma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27" fillId="5" borderId="1" xfId="0" applyFont="1" applyFill="1" applyBorder="1" applyAlignment="1">
      <alignment wrapText="1"/>
    </xf>
    <xf numFmtId="0" fontId="0" fillId="0" borderId="13" xfId="0" applyBorder="1" applyAlignment="1">
      <alignment wrapText="1"/>
    </xf>
    <xf numFmtId="0" fontId="26" fillId="5" borderId="1" xfId="0" applyFont="1" applyFill="1" applyBorder="1" applyAlignment="1">
      <alignment horizontal="center" vertical="center" wrapText="1"/>
    </xf>
    <xf numFmtId="0" fontId="0" fillId="0" borderId="0" xfId="0" pivotButton="1" applyAlignment="1">
      <alignment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center" vertical="top" wrapText="1"/>
    </xf>
    <xf numFmtId="0" fontId="16" fillId="8" borderId="24" xfId="0" applyFont="1" applyFill="1" applyBorder="1" applyAlignment="1">
      <alignment vertical="top" wrapText="1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28" fillId="3" borderId="1" xfId="0" applyFont="1" applyFill="1" applyBorder="1" applyAlignment="1">
      <alignment vertical="top" wrapText="1"/>
    </xf>
    <xf numFmtId="0" fontId="28" fillId="3" borderId="1" xfId="0" applyFont="1" applyFill="1" applyBorder="1" applyAlignment="1">
      <alignment horizontal="center" vertical="top" wrapText="1"/>
    </xf>
    <xf numFmtId="0" fontId="0" fillId="0" borderId="10" xfId="0" applyBorder="1"/>
    <xf numFmtId="1" fontId="0" fillId="0" borderId="10" xfId="0" applyNumberFormat="1" applyBorder="1" applyAlignment="1">
      <alignment horizontal="center"/>
    </xf>
    <xf numFmtId="0" fontId="0" fillId="0" borderId="1" xfId="0" applyFill="1" applyBorder="1" applyAlignment="1">
      <alignment wrapText="1"/>
    </xf>
    <xf numFmtId="1" fontId="23" fillId="0" borderId="1" xfId="0" applyNumberFormat="1" applyFont="1" applyBorder="1" applyAlignment="1">
      <alignment horizontal="center"/>
    </xf>
    <xf numFmtId="0" fontId="23" fillId="0" borderId="0" xfId="0" applyFont="1"/>
    <xf numFmtId="0" fontId="23" fillId="5" borderId="1" xfId="0" applyFont="1" applyFill="1" applyBorder="1" applyAlignment="1">
      <alignment horizontal="center" vertical="center" wrapText="1"/>
    </xf>
    <xf numFmtId="0" fontId="27" fillId="5" borderId="10" xfId="0" applyFont="1" applyFill="1" applyBorder="1" applyAlignment="1">
      <alignment wrapText="1"/>
    </xf>
    <xf numFmtId="0" fontId="0" fillId="5" borderId="1" xfId="0" applyNumberFormat="1" applyFill="1" applyBorder="1" applyAlignment="1">
      <alignment vertical="center" wrapText="1"/>
    </xf>
    <xf numFmtId="0" fontId="0" fillId="5" borderId="1" xfId="0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29" fillId="5" borderId="1" xfId="0" applyFont="1" applyFill="1" applyBorder="1" applyAlignment="1">
      <alignment vertical="center" wrapText="1"/>
    </xf>
    <xf numFmtId="0" fontId="30" fillId="5" borderId="1" xfId="0" applyFont="1" applyFill="1" applyBorder="1" applyAlignment="1">
      <alignment vertical="center" wrapText="1"/>
    </xf>
    <xf numFmtId="0" fontId="29" fillId="5" borderId="1" xfId="0" applyFont="1" applyFill="1" applyBorder="1" applyAlignment="1">
      <alignment wrapText="1"/>
    </xf>
    <xf numFmtId="0" fontId="30" fillId="5" borderId="1" xfId="0" applyFont="1" applyFill="1" applyBorder="1" applyAlignment="1">
      <alignment horizontal="center" vertical="center" wrapText="1"/>
    </xf>
    <xf numFmtId="0" fontId="27" fillId="5" borderId="13" xfId="0" applyFont="1" applyFill="1" applyBorder="1" applyAlignment="1">
      <alignment wrapText="1"/>
    </xf>
    <xf numFmtId="0" fontId="31" fillId="2" borderId="0" xfId="0" applyFont="1" applyFill="1" applyAlignment="1">
      <alignment horizontal="center" vertical="center" wrapText="1"/>
    </xf>
    <xf numFmtId="0" fontId="13" fillId="0" borderId="1" xfId="0" applyFont="1" applyBorder="1" applyAlignment="1">
      <alignment horizontal="center"/>
    </xf>
  </cellXfs>
  <cellStyles count="1">
    <cellStyle name="Normal" xfId="0" builtinId="0"/>
  </cellStyles>
  <dxfs count="79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  <border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[Red]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2" formatCode="mmm/yy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164" formatCode="0;[Red]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9" formatCode="dd/mm/yyyy"/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scheme val="none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numFmt numFmtId="20" formatCode="dd/mmm/yy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Display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fill>
        <patternFill patternType="solid">
          <fgColor indexed="64"/>
          <bgColor rgb="FF83CCEB"/>
        </patternFill>
      </fill>
      <alignment horizontal="center" vertical="center" textRotation="0" wrapText="1" indent="0" justifyLastLine="0" shrinkToFit="0" readingOrder="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horizontal="general" readingOrder="0"/>
    </dxf>
    <dxf>
      <alignment horizontal="center" readingOrder="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awan Mathur" refreshedDate="46323.454113541666" createdVersion="6" refreshedVersion="6" minRefreshableVersion="3" recordCount="34">
  <cacheSource type="worksheet">
    <worksheetSource name="Table2"/>
  </cacheSource>
  <cacheFields count="19">
    <cacheField name="S. no" numFmtId="0">
      <sharedItems containsString="0" containsBlank="1" containsNumber="1" containsInteger="1" minValue="1" maxValue="33"/>
    </cacheField>
    <cacheField name="Book ID" numFmtId="0">
      <sharedItems/>
    </cacheField>
    <cacheField name="MPS ID" numFmtId="0">
      <sharedItems count="50">
        <s v="Sánchez, Angeles"/>
        <s v="Metsoc Vol-I-8771046"/>
        <s v="Metsoc Vol-II-8771047"/>
        <s v="Metsoc Vol-III-8771048"/>
        <s v="Metsoc Vol-IV-8771049"/>
        <s v="Metsoc Vol-V-8771050"/>
        <s v="Metsoc Vol-VI-8771051"/>
        <s v="Metsoc Vol-VII-8771052"/>
        <s v="Metsoc Vol-VIII-8771060"/>
        <s v="Metsoc-Vol-IX-8771159"/>
        <s v="Zhou, Kun-8770838"/>
        <s v="Abarzhi, Snezhana I."/>
        <s v="Giordano, Andrea"/>
        <s v="García-Holgado, Alicia-8771063"/>
        <s v="Trapani, Ferdinando"/>
        <s v="Bibri, Simon Elias"/>
        <s v="Xu-MSEM-8771092-Tex"/>
        <s v="Kalmani, Vijay"/>
        <s v="Sahraoui, Zakaria-8770559"/>
        <s v="Karakoc-AEF-8770589"/>
        <s v="Cheshmehzangi, Ali"/>
        <s v="Martín-Rojas, Rodrigo"/>
        <s v="Teba, Tarek"/>
        <s v="Gunka, Volodymyr"/>
        <s v="PERARNAU-DMD-Garcia-Sanchez"/>
        <s v="Lo Presti, Davide"/>
        <s v="De Marchi, Luca"/>
        <s v="AL-Emran-Ihalanayake Ranjith"/>
        <s v="Barla, Marco"/>
        <s v="Zi,-PIC Yunlong 8770448"/>
        <s v="Zhan-Ventura, Michele Della-8770452"/>
        <s v="González, Carina S. González"/>
        <s v="Ullah, Abrar"/>
        <s v="Hameed, Alaa Ali"/>
        <s v="Metallurgy and Materials Society of CIM, Vol-III-8771048" u="1"/>
        <s v="Metallurgy and Materials Society of CIM Vol-VI-8771051" u="1"/>
        <s v="García-Sánchez, Pedro A." u="1"/>
        <s v="Metallurgy and Materials Society of CIM, Vol-IV-8771049" u="1"/>
        <s v="Xu-Jiuping, MSEM-8771092-Tex" u="1"/>
        <s v="Ihalanayake, Ranjith" u="1"/>
        <s v="Tortorella-PGMP2-8770424 Error Enrichmenet controller" u="1"/>
        <s v="Metallurgy and Materials Society of CIM, Vol-V-8771050" u="1"/>
        <s v="Bhat, Vijay Kumar" u="1"/>
        <s v="Metallurgy and Materials Society of CIM Vol-VIII-8771060" u="1"/>
        <s v="Metallurgy and Materials Society of CIM, Vol-VII-8771052" u="1"/>
        <s v="Zawawi, Iskandar Shah Mohd" u="1"/>
        <s v="Metallurgy and Materials Society of CIM, Vol-II-8771047" u="1"/>
        <s v="Metallurgy-MetSoc-Vol-IX-8771159" u="1"/>
        <s v="PERARNAU-DMD" u="1"/>
        <s v="Metallurgy and Materials Society of CIM, Vol-I-8771046" u="1"/>
      </sharedItems>
    </cacheField>
    <cacheField name="Stage" numFmtId="0">
      <sharedItems containsBlank="1" count="10">
        <s v="S600"/>
        <s v="S300"/>
        <s v="S300A"/>
        <s v="S650A"/>
        <s v="S650"/>
        <s v="S200"/>
        <s v="S200 Login"/>
        <s v="S5"/>
        <s v="S50"/>
        <m u="1"/>
      </sharedItems>
    </cacheField>
    <cacheField name="Received Date (S50)" numFmtId="0">
      <sharedItems containsNonDate="0" containsDate="1" containsString="0" containsBlank="1" minDate="2026-08-24T00:00:00" maxDate="2026-10-28T00:00:00"/>
    </cacheField>
    <cacheField name="Current TAT (S50 onward)" numFmtId="0">
      <sharedItems containsDate="1" containsString="0" containsBlank="1" containsMixedTypes="1" minDate="1899-12-31T04:01:03" maxDate="1900-01-05T09:14:04" count="44">
        <n v="65"/>
        <n v="32"/>
        <n v="35"/>
        <n v="40"/>
        <n v="34"/>
        <n v="28"/>
        <n v="30"/>
        <n v="37"/>
        <n v="41"/>
        <n v="29"/>
        <n v="31"/>
        <n v="21"/>
        <n v="16"/>
        <n v="14"/>
        <n v="11"/>
        <n v="7"/>
        <n v="2"/>
        <n v="1"/>
        <m/>
        <n v="13" u="1"/>
        <n v="104" u="1"/>
        <n v="38" u="1"/>
        <n v="5" u="1"/>
        <n v="42" u="1"/>
        <n v="15" u="1"/>
        <n v="44" u="1"/>
        <n v="6" u="1"/>
        <n v="17" u="1"/>
        <n v="18" u="1"/>
        <n v="52" u="1"/>
        <n v="19" u="1"/>
        <n v="20" u="1"/>
        <n v="22" u="1"/>
        <n v="23" u="1"/>
        <n v="3" u="1"/>
        <n v="8" u="1"/>
        <d v="2026-09-26T00:00:00" u="1"/>
        <n v="24" u="1"/>
        <n v="25" u="1"/>
        <n v="26" u="1"/>
        <n v="27" u="1"/>
        <n v="49" u="1"/>
        <n v="51" u="1"/>
        <n v="12" u="1"/>
      </sharedItems>
    </cacheField>
    <cacheField name="S200 TAT" numFmtId="0">
      <sharedItems containsBlank="1" containsMixedTypes="1" containsNumber="1" containsInteger="1" minValue="3" maxValue="33"/>
    </cacheField>
    <cacheField name="S300A TAT" numFmtId="0">
      <sharedItems containsString="0" containsBlank="1" containsNumber="1" containsInteger="1" minValue="0" maxValue="33"/>
    </cacheField>
    <cacheField name="S300 TAT" numFmtId="0">
      <sharedItems containsString="0" containsBlank="1" containsNumber="1" containsInteger="1" minValue="0" maxValue="8"/>
    </cacheField>
    <cacheField name="S600 TAT" numFmtId="0">
      <sharedItems containsString="0" containsBlank="1" containsNumber="1" containsInteger="1" minValue="0" maxValue="4"/>
    </cacheField>
    <cacheField name="S650A TAT" numFmtId="0">
      <sharedItems containsString="0" containsBlank="1" containsNumber="1" containsInteger="1" minValue="1" maxValue="2"/>
    </cacheField>
    <cacheField name="S650 TAT" numFmtId="0">
      <sharedItems containsString="0" containsBlank="1" containsNumber="1" containsInteger="1" minValue="0" maxValue="0"/>
    </cacheField>
    <cacheField name="Total Chapters" numFmtId="0">
      <sharedItems containsString="0" containsBlank="1" containsNumber="1" containsInteger="1" minValue="7" maxValue="135"/>
    </cacheField>
    <cacheField name="MS Pages" numFmtId="0">
      <sharedItems containsString="0" containsBlank="1" containsNumber="1" containsInteger="1" minValue="100" maxValue="1500"/>
    </cacheField>
    <cacheField name="Status - S200" numFmtId="0">
      <sharedItems containsBlank="1"/>
    </cacheField>
    <cacheField name="Status - 300" numFmtId="0">
      <sharedItems containsBlank="1"/>
    </cacheField>
    <cacheField name="Remarks" numFmtId="0">
      <sharedItems containsBlank="1" longText="1"/>
    </cacheField>
    <cacheField name="Column1" numFmtId="0">
      <sharedItems containsBlank="1"/>
    </cacheField>
    <cacheField name="Plateform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">
  <r>
    <n v="1"/>
    <s v="705744_1_En"/>
    <x v="0"/>
    <x v="0"/>
    <d v="2026-08-24T00:00:00"/>
    <x v="0"/>
    <n v="26"/>
    <n v="33"/>
    <n v="2"/>
    <n v="3"/>
    <m/>
    <m/>
    <n v="32"/>
    <n v="500"/>
    <s v="S200 - _x000a_Login : 00 Chapters;_x000a_PE : 00 Chapters;_x000a_CE : 00 Chapters;_x000a_Comp : 00 Chapters;_x000a_Online Delivery : 00 Chapters"/>
    <s v="28 Chaps-Rev.delivered, 3 Part in Eproof, FM-recept error"/>
    <s v="GraySci-Template issue resolved on 6-Oct.Pls follow Instruction of  Janet provided on 22-Oct. Chap-09- &quot;There are some things that need to be revised: _x000a_1. The keywords for the Pasuruan regency should be Pasuruan Regency. Big R for Regency. _x000a_2. Images on Figures 6 and 7 were reversed; the image on Figure 7 should come first. _x000a_3. The captions on Figure 3.1 should be placed before Figure 1. _x000a_4. The captions on Figure 4.1 should be placed before Figure 13. "/>
    <s v="FM1 receipt error"/>
    <s v="Word"/>
  </r>
  <r>
    <n v="2"/>
    <s v="696264_1_En"/>
    <x v="1"/>
    <x v="1"/>
    <d v="2026-09-26T00:00:00"/>
    <x v="1"/>
    <n v="14"/>
    <n v="14"/>
    <n v="2"/>
    <n v="0"/>
    <m/>
    <m/>
    <n v="15"/>
    <n v="200"/>
    <s v="S200 - _x000a_Login : 00 Chapters;_x000a_PE : 00 Chapters;_x000a_CE : 00 Chapters;_x000a_Comp : 00 Chapters;_x000a_Online Delivery : 00 Chapters"/>
    <s v="Delivered on 27th"/>
    <s v="email sent to PE (MS ISSUE)"/>
    <s v="Delayed from VE"/>
    <s v="Word"/>
  </r>
  <r>
    <n v="3"/>
    <s v="696260_1_En"/>
    <x v="2"/>
    <x v="1"/>
    <d v="2026-09-26T00:00:00"/>
    <x v="1"/>
    <n v="16"/>
    <n v="10"/>
    <n v="5"/>
    <m/>
    <m/>
    <m/>
    <n v="15"/>
    <n v="200"/>
    <s v="S200 - _x000a_Login : 00 Chapters;_x000a_PE : 00 Chapters;_x000a_CE : 00 Chapters;_x000a_Comp : 00 Chapters;_x000a_Online Delivery : 00 Chapters"/>
    <s v="6 chaps in revises"/>
    <s v="email sent to PE (MS ISSUE)"/>
    <m/>
    <s v="Word"/>
  </r>
  <r>
    <n v="4"/>
    <s v="695444_1_En"/>
    <x v="3"/>
    <x v="2"/>
    <d v="2026-09-23T00:00:00"/>
    <x v="2"/>
    <n v="15"/>
    <n v="16"/>
    <n v="1"/>
    <n v="1"/>
    <m/>
    <m/>
    <n v="31"/>
    <n v="280"/>
    <s v="S200 - _x000a_Login : 00 Chapters;_x000a_PE : 00 Chapters;_x000a_CE : 00 Chapters;_x000a_Comp : 00 Chapters;_x000a_Online Delivery : 00 Chapters"/>
    <s v="S300 completed"/>
    <s v="PRR Sent on 15th Sep"/>
    <s v="FM1 receipt error"/>
    <s v="Word"/>
  </r>
  <r>
    <n v="5"/>
    <s v="695897_1_En"/>
    <x v="4"/>
    <x v="1"/>
    <d v="2026-09-23T00:00:00"/>
    <x v="2"/>
    <n v="12"/>
    <n v="13"/>
    <n v="0"/>
    <m/>
    <m/>
    <m/>
    <n v="25"/>
    <n v="240"/>
    <s v="S200 - _x000a_Login : 00 Chapters;_x000a_PE : 00 Chapters;_x000a_CE : 00 Chapters;_x000a_Comp : 00 Chapters;_x000a_Online Delivery : 00 Chapters"/>
    <s v="20 in revises. FM in S200 comp"/>
    <s v="PRR Sent on 15th Sep, Job Sheet updated for missing chapters and TOC on 10-Oct"/>
    <s v="Final Manuscript recd on 20th Oct"/>
    <s v="Word"/>
  </r>
  <r>
    <n v="6"/>
    <s v="696258_1_En"/>
    <x v="5"/>
    <x v="1"/>
    <d v="2026-09-18T00:00:00"/>
    <x v="3"/>
    <n v="16"/>
    <n v="16"/>
    <n v="3"/>
    <m/>
    <m/>
    <m/>
    <n v="25"/>
    <n v="244"/>
    <s v="S200 - _x000a_Login : 00 Chapters;_x000a_PE : 00 Chapters;_x000a_CE : 00 Chapters;_x000a_Comp : 00 Chapters;_x000a_Online Delivery : 00 Chapters"/>
    <s v="13 chaps in Revises, FM in eproof"/>
    <s v="PRR Sent on 15th Sep, "/>
    <s v="Chap-04 removed as per author instructions"/>
    <s v="Word"/>
  </r>
  <r>
    <n v="7"/>
    <s v="696262_1_En"/>
    <x v="6"/>
    <x v="3"/>
    <d v="2026-09-18T00:00:00"/>
    <x v="3"/>
    <n v="16"/>
    <n v="7"/>
    <n v="8"/>
    <n v="4"/>
    <n v="1"/>
    <m/>
    <n v="9"/>
    <n v="100"/>
    <s v="S200 - _x000a_Login : 00 Chapters;_x000a_PE : 00 Chapters;_x000a_CE : 00 Chapters;_x000a_Comp : 00 Chapters;_x000a_Online Delivery : 00 Chapters"/>
    <m/>
    <s v="PRR Sent on 15th Sep"/>
    <m/>
    <s v="Word"/>
  </r>
  <r>
    <n v="8"/>
    <s v="695893_1_En"/>
    <x v="7"/>
    <x v="1"/>
    <d v="2026-09-18T00:00:00"/>
    <x v="3"/>
    <n v="18"/>
    <n v="12"/>
    <n v="3"/>
    <n v="0"/>
    <m/>
    <m/>
    <n v="13"/>
    <n v="120"/>
    <s v="S200 - _x000a_Login : 00 Chapters;_x000a_PE : 00 Chapters;_x000a_CE : 00 Chapters;_x000a_Comp : 00 Chapters;_x000a_Online Delivery : 00 Chapters"/>
    <s v="Delivrered"/>
    <s v="PRR Sent on 15th Sep"/>
    <m/>
    <s v="Word"/>
  </r>
  <r>
    <n v="9"/>
    <s v="696253_1_En"/>
    <x v="8"/>
    <x v="1"/>
    <d v="2026-09-24T00:00:00"/>
    <x v="4"/>
    <n v="33"/>
    <n v="12"/>
    <n v="3"/>
    <m/>
    <m/>
    <m/>
    <n v="37"/>
    <n v="200"/>
    <s v="S200 - _x000a_Login : 00 Chapters;_x000a_PE : 00 Chapters;_x000a_CE : 00 Chapters;_x000a_Comp : 00 Chapters;_x000a_Online Delivery : 00 Chapters"/>
    <s v="All in revises"/>
    <s v="Received in Production on 18th Sep (2.50pm)"/>
    <s v="Delayed from VE"/>
    <s v="Word"/>
  </r>
  <r>
    <n v="10"/>
    <s v="696263_1_En"/>
    <x v="9"/>
    <x v="2"/>
    <d v="2026-09-30T00:00:00"/>
    <x v="5"/>
    <n v="15"/>
    <n v="0"/>
    <m/>
    <m/>
    <m/>
    <m/>
    <n v="78"/>
    <n v="750"/>
    <s v="S200 - _x000a_Login :00 Chapters;_x000a_PE : 00 Chapters;_x000a_CE : 00 Chapters;_x000a_Comp : 00 Chapters;_x000a_Online Delivery : 00 Chapters"/>
    <s v="11 chaps in Revises"/>
    <s v="Query solved on 12-Oct(FM component recd. Autho &amp; Aff missing in chap-60)"/>
    <m/>
    <s v="Word"/>
  </r>
  <r>
    <n v="11"/>
    <s v="708036_1_En"/>
    <x v="10"/>
    <x v="2"/>
    <d v="2026-09-28T00:00:00"/>
    <x v="6"/>
    <n v="26"/>
    <n v="0"/>
    <n v="0"/>
    <m/>
    <m/>
    <m/>
    <n v="81"/>
    <n v="600"/>
    <s v="S200 - _x000a_Login : 00 Chapters;_x000a_PE : 00 Chapters;_x000a_CE : 00 Chapters;_x000a_Comp : 00 Chapters;_x000a_Online Delivery : 00 Chapters"/>
    <s v="25 chap in Revises"/>
    <s v="PRR sent on 17th Sep"/>
    <m/>
    <s v="Word"/>
  </r>
  <r>
    <n v="12"/>
    <s v="702839_1_En"/>
    <x v="11"/>
    <x v="4"/>
    <d v="2026-09-21T00:00:00"/>
    <x v="7"/>
    <n v="16"/>
    <n v="21"/>
    <n v="5"/>
    <n v="1"/>
    <n v="1"/>
    <n v="0"/>
    <n v="7"/>
    <n v="100"/>
    <s v="S200 - _x000a_Login : 00 Chapters;_x000a_PE : 00 Chapters;_x000a_CE : 00 Chapters;_x000a_Comp : 00 Chapters;_x000a_Online Delivery : 00 Chapters"/>
    <s v="2 in Eproof rest revises completed"/>
    <s v="PRR sent on 17th Sep. Query-Reference missing and content mismatch, One new manuscript approval"/>
    <m/>
    <s v="Word"/>
  </r>
  <r>
    <n v="13"/>
    <s v="704353_1_En"/>
    <x v="12"/>
    <x v="3"/>
    <d v="2026-09-17T00:00:00"/>
    <x v="8"/>
    <n v="19"/>
    <n v="13"/>
    <n v="1"/>
    <n v="1"/>
    <n v="2"/>
    <m/>
    <n v="41"/>
    <n v="500"/>
    <s v="S200 - _x000a_Login : 00 Chapters;_x000a_PE : 00 Chapters;_x000a_CE : 00 Chapters;_x000a_Comp : 00 Chapters;_x000a_Online Delivery : 00 Chapters"/>
    <m/>
    <s v="PRR sent on 17th Sep"/>
    <m/>
    <s v="Word"/>
  </r>
  <r>
    <n v="14"/>
    <s v="708652_1_En"/>
    <x v="13"/>
    <x v="5"/>
    <d v="2026-09-29T00:00:00"/>
    <x v="9"/>
    <n v="25"/>
    <m/>
    <m/>
    <m/>
    <m/>
    <m/>
    <n v="36"/>
    <n v="500"/>
    <s v="S200 - _x000a_Login : 00 Chapters;_x000a_PE : 15 Chapters;_x000a_CE : 21 Chapters;_x000a_Comp : 00 Chapters;_x000a_Online Delivery : 00 Chapters"/>
    <s v="Query will be resolved after 23-oct conferences"/>
    <s v="Hold for new manuscript solved. Will receive today"/>
    <m/>
    <s v="Tex"/>
  </r>
  <r>
    <n v="15"/>
    <s v="709492_1_En"/>
    <x v="14"/>
    <x v="2"/>
    <d v="2026-09-27T00:00:00"/>
    <x v="10"/>
    <n v="30"/>
    <n v="8"/>
    <n v="0"/>
    <m/>
    <m/>
    <m/>
    <n v="31"/>
    <n v="500"/>
    <s v="S200 - _x000a_Login : 00 Chapters;_x000a_PE :  00 Chapters;_x000a_CE : 00 Chapters;_x000a_Comp : 00 Chapters;_x000a_Online Delivery : 00 Chapters"/>
    <m/>
    <m/>
    <m/>
    <s v="Word"/>
  </r>
  <r>
    <n v="16"/>
    <s v="704172_1_En"/>
    <x v="15"/>
    <x v="1"/>
    <d v="2026-09-26T00:00:00"/>
    <x v="1"/>
    <n v="24"/>
    <n v="5"/>
    <n v="0"/>
    <m/>
    <m/>
    <m/>
    <n v="28"/>
    <n v="350"/>
    <s v="S200 - _x000a_Login : 00 Chapters;_x000a_PE : 00 Chapters;_x000a_CE : 00 Chapters;_x000a_Comp : 00 Chapters;_x000a_Online Delivery : 00 Chapters"/>
    <s v="15 Chaps in Revises."/>
    <m/>
    <m/>
    <s v="Word"/>
  </r>
  <r>
    <n v="17"/>
    <s v="710752_1_En"/>
    <x v="16"/>
    <x v="5"/>
    <d v="2026-10-07T00:00:00"/>
    <x v="11"/>
    <n v="7"/>
    <m/>
    <m/>
    <m/>
    <m/>
    <m/>
    <n v="135"/>
    <n v="1500"/>
    <s v="S200 - _x000a_Login : 129 Chapters;_x000a_PE : 00 Chapters;_x000a_CE : 00 Chapters;_x000a_Comp : 00 Chapters;_x000a_Online Delivery : 00 Chapters"/>
    <s v="Query for JS regarding mismatch in chaps. BM is also there"/>
    <s v="Books should be spilit in Two vol-I and II in S600 stage"/>
    <m/>
    <s v="Tex"/>
  </r>
  <r>
    <n v="18"/>
    <s v="695571_1_En"/>
    <x v="17"/>
    <x v="5"/>
    <d v="2026-09-30T00:00:00"/>
    <x v="5"/>
    <n v="15"/>
    <m/>
    <m/>
    <m/>
    <m/>
    <m/>
    <n v="48"/>
    <n v="550"/>
    <s v="S200 - _x000a_Login : 00 Chapters;_x000a_PE : 00 Chapters;_x000a_CE : 13 Chapters;_x000a_Comp : 35 Chapters;_x000a_Online Delivery : 00 Chapters"/>
    <s v="Login reinstated, workflow issue solved"/>
    <m/>
    <m/>
    <s v="Tex+word"/>
  </r>
  <r>
    <n v="19"/>
    <s v="706742_1_En"/>
    <x v="18"/>
    <x v="5"/>
    <d v="2026-09-30T00:00:00"/>
    <x v="5"/>
    <n v="16"/>
    <m/>
    <m/>
    <m/>
    <m/>
    <m/>
    <n v="40"/>
    <n v="450"/>
    <s v="S200 - _x000a_Login : 01 Chapters;_x000a_PE : 21 Chapters;_x000a_CE : 18 Chapters;_x000a_Comp : 00 Chapters;_x000a_Online Delivery : 00 Chapters"/>
    <m/>
    <s v="Query chap 28. figs missing was reced."/>
    <m/>
    <s v="Word"/>
  </r>
  <r>
    <n v="20"/>
    <s v="704411_1_En"/>
    <x v="19"/>
    <x v="5"/>
    <d v="2026-10-12T00:00:00"/>
    <x v="12"/>
    <m/>
    <m/>
    <m/>
    <m/>
    <m/>
    <m/>
    <n v="30"/>
    <n v="350"/>
    <s v="S200 - _x000a_Login : 00 Chapters;_x000a_PE : 30 Chapters;_x000a_CE : 00 Chapters;_x000a_Comp : 00 Chapters;_x000a_Online Delivery : 00 Chapters"/>
    <s v="Preface &amp; TOC(FM components missing)"/>
    <s v="New manuscript recd again and chap-31 added. On 12-Oct26"/>
    <s v="FM &amp; TOC will be recd in S200 stage"/>
    <s v="Word"/>
  </r>
  <r>
    <n v="21"/>
    <s v="710147_1_En"/>
    <x v="20"/>
    <x v="5"/>
    <d v="2026-10-12T00:00:00"/>
    <x v="12"/>
    <n v="9"/>
    <m/>
    <m/>
    <m/>
    <m/>
    <m/>
    <n v="28"/>
    <n v="500"/>
    <s v="S200 - _x000a_Login : 00 Chapters;_x000a_PE : 28 Chapters;_x000a_CE : 00 Chapters;_x000a_Comp : 00 Chapters;_x000a_Online Delivery : 00 Chapters"/>
    <m/>
    <m/>
    <m/>
    <s v="Word"/>
  </r>
  <r>
    <n v="22"/>
    <s v="708159_1_En"/>
    <x v="21"/>
    <x v="5"/>
    <d v="2026-10-07T00:00:00"/>
    <x v="11"/>
    <s v="9"/>
    <m/>
    <m/>
    <m/>
    <m/>
    <m/>
    <n v="36"/>
    <n v="450"/>
    <s v="S200 - _x000a_Login : 00 Chapters;_x000a_PE : 00 Chapters;_x000a_CE : 00 Chapters;_x000a_Comp : 36 Chapters;_x000a_Online Delivery : 00 Chapters"/>
    <m/>
    <m/>
    <m/>
    <m/>
  </r>
  <r>
    <n v="23"/>
    <s v="707038_1_En"/>
    <x v="22"/>
    <x v="5"/>
    <d v="2026-10-14T00:00:00"/>
    <x v="13"/>
    <n v="6"/>
    <m/>
    <m/>
    <m/>
    <m/>
    <m/>
    <n v="42"/>
    <n v="500"/>
    <s v="S200 - _x000a_Login : 00 Chapters;_x000a_PE : 42 Chapters;_x000a_CE : 00 Chapters;_x000a_Comp : 00 Chapters;_x000a_Online Delivery : 00 Chapters"/>
    <m/>
    <m/>
    <m/>
    <s v="Word"/>
  </r>
  <r>
    <n v="24"/>
    <s v="708552_1_En"/>
    <x v="23"/>
    <x v="5"/>
    <d v="2026-10-17T00:00:00"/>
    <x v="14"/>
    <n v="6"/>
    <m/>
    <m/>
    <m/>
    <m/>
    <m/>
    <n v="23"/>
    <n v="350"/>
    <s v="S200 - _x000a_Login : 00 Chapters;_x000a_PE : 23 Chapters;_x000a_CE : 00 Chapters;_x000a_Comp : 00 Chapters;_x000a_Online Delivery : 00 Chapters"/>
    <m/>
    <m/>
    <m/>
    <s v="Word"/>
  </r>
  <r>
    <n v="25"/>
    <s v="700862_1_En"/>
    <x v="24"/>
    <x v="6"/>
    <d v="2026-10-17T00:00:00"/>
    <x v="14"/>
    <m/>
    <m/>
    <m/>
    <m/>
    <m/>
    <m/>
    <n v="56"/>
    <n v="300"/>
    <s v="S200 - _x000a_Login : 47 Chapters;_x000a_PE : 09 Chapters;_x000a_CE : 00 Chapters;_x000a_Comp : 00 Chapters;_x000a_Online Delivery : 00 Chapters"/>
    <m/>
    <m/>
    <m/>
    <s v="Tex"/>
  </r>
  <r>
    <n v="26"/>
    <s v="713085_1_En"/>
    <x v="25"/>
    <x v="6"/>
    <d v="2026-10-21T00:00:00"/>
    <x v="15"/>
    <m/>
    <m/>
    <m/>
    <m/>
    <m/>
    <m/>
    <n v="109"/>
    <n v="350"/>
    <m/>
    <m/>
    <m/>
    <m/>
    <s v="Word"/>
  </r>
  <r>
    <n v="27"/>
    <s v="710384_1_En"/>
    <x v="26"/>
    <x v="6"/>
    <d v="2026-10-21T00:00:00"/>
    <x v="15"/>
    <n v="3"/>
    <m/>
    <m/>
    <m/>
    <m/>
    <m/>
    <n v="69"/>
    <n v="400"/>
    <s v="S200 - _x000a_Login : 36 Chapters;_x000a_PE : 33 Chapters;_x000a_CE : 00 Chapters;_x000a_Comp : 00 Chapters;_x000a_Online Delivery : 00 Chapters"/>
    <m/>
    <m/>
    <m/>
    <s v="Tex"/>
  </r>
  <r>
    <n v="28"/>
    <s v="713564_1_En"/>
    <x v="27"/>
    <x v="5"/>
    <d v="2026-10-17T00:00:00"/>
    <x v="14"/>
    <n v="6"/>
    <m/>
    <m/>
    <m/>
    <m/>
    <m/>
    <n v="33"/>
    <n v="450"/>
    <s v="S200 - _x000a_Login : 00 Chapters;_x000a_PE : 33 Chapters;_x000a_CE : 00 Chapters;_x000a_Comp : 00 Chapters;_x000a_Online Delivery : 00 Chapters"/>
    <m/>
    <m/>
    <m/>
    <s v="Word"/>
  </r>
  <r>
    <n v="29"/>
    <s v="717901_1_En"/>
    <x v="28"/>
    <x v="7"/>
    <d v="2026-10-21T00:00:00"/>
    <x v="15"/>
    <m/>
    <m/>
    <m/>
    <m/>
    <m/>
    <m/>
    <n v="21"/>
    <n v="150"/>
    <m/>
    <m/>
    <m/>
    <m/>
    <s v="Word"/>
  </r>
  <r>
    <n v="30"/>
    <s v="701850_1_En"/>
    <x v="29"/>
    <x v="7"/>
    <d v="2026-10-26T00:00:00"/>
    <x v="16"/>
    <m/>
    <m/>
    <m/>
    <m/>
    <m/>
    <m/>
    <n v="12"/>
    <n v="150"/>
    <m/>
    <m/>
    <m/>
    <m/>
    <s v="Word"/>
  </r>
  <r>
    <n v="31"/>
    <s v="704476_1_En"/>
    <x v="30"/>
    <x v="7"/>
    <d v="2026-10-27T00:00:00"/>
    <x v="17"/>
    <m/>
    <m/>
    <m/>
    <m/>
    <m/>
    <m/>
    <n v="20"/>
    <n v="450"/>
    <m/>
    <m/>
    <m/>
    <m/>
    <s v="Word"/>
  </r>
  <r>
    <n v="32"/>
    <s v="704485_1_En"/>
    <x v="31"/>
    <x v="8"/>
    <d v="2026-10-27T00:00:00"/>
    <x v="17"/>
    <m/>
    <m/>
    <m/>
    <m/>
    <m/>
    <m/>
    <n v="16"/>
    <n v="200"/>
    <m/>
    <m/>
    <m/>
    <m/>
    <s v="Word"/>
  </r>
  <r>
    <n v="33"/>
    <s v="707996_1_En"/>
    <x v="32"/>
    <x v="7"/>
    <m/>
    <x v="18"/>
    <m/>
    <m/>
    <m/>
    <m/>
    <m/>
    <m/>
    <m/>
    <m/>
    <m/>
    <m/>
    <m/>
    <m/>
    <m/>
  </r>
  <r>
    <m/>
    <s v="697730_1_En"/>
    <x v="33"/>
    <x v="7"/>
    <m/>
    <x v="18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H12" firstHeaderRow="1" firstDataRow="2" firstDataCol="3"/>
  <pivotFields count="19">
    <pivotField compact="0" outline="0" showAll="0" defaultSubtotal="0"/>
    <pivotField compact="0" outline="0" showAll="0" defaultSubtotal="0"/>
    <pivotField axis="axisRow" compact="0" outline="0" showAll="0" defaultSubtotal="0">
      <items count="50">
        <item x="11"/>
        <item m="1" x="42"/>
        <item x="15"/>
        <item x="20"/>
        <item x="13"/>
        <item x="12"/>
        <item x="23"/>
        <item x="17"/>
        <item x="19"/>
        <item x="21"/>
        <item m="1" x="35"/>
        <item m="1" x="43"/>
        <item m="1" x="49"/>
        <item m="1" x="46"/>
        <item m="1" x="34"/>
        <item m="1" x="37"/>
        <item m="1" x="41"/>
        <item m="1" x="44"/>
        <item m="1" x="47"/>
        <item x="18"/>
        <item x="0"/>
        <item x="22"/>
        <item m="1" x="40"/>
        <item x="14"/>
        <item m="1" x="38"/>
        <item m="1" x="45"/>
        <item x="10"/>
        <item x="16"/>
        <item m="1" x="36"/>
        <item x="25"/>
        <item x="26"/>
        <item m="1" x="48"/>
        <item m="1" x="39"/>
        <item x="1"/>
        <item x="2"/>
        <item x="3"/>
        <item x="4"/>
        <item x="5"/>
        <item x="6"/>
        <item x="7"/>
        <item x="8"/>
        <item x="9"/>
        <item x="24"/>
        <item x="27"/>
        <item x="28"/>
        <item x="29"/>
        <item x="30"/>
        <item x="31"/>
        <item x="32"/>
        <item x="33"/>
      </items>
    </pivotField>
    <pivotField axis="axisRow" compact="0" outline="0" showAll="0" defaultSubtotal="0">
      <items count="10">
        <item h="1" x="5"/>
        <item x="1"/>
        <item h="1" x="2"/>
        <item h="1" x="7"/>
        <item h="1" x="8"/>
        <item h="1" x="4"/>
        <item h="1" m="1" x="9"/>
        <item h="1" x="6"/>
        <item h="1" x="0"/>
        <item h="1" x="3"/>
      </items>
    </pivotField>
    <pivotField compact="0" outline="0" showAll="0" defaultSubtotal="0"/>
    <pivotField axis="axisRow" compact="0" outline="0" showAll="0" defaultSubtotal="0">
      <items count="44">
        <item m="1" x="34"/>
        <item m="1" x="22"/>
        <item m="1" x="26"/>
        <item m="1" x="43"/>
        <item m="1" x="19"/>
        <item x="13"/>
        <item m="1" x="24"/>
        <item x="12"/>
        <item m="1" x="28"/>
        <item m="1" x="30"/>
        <item x="11"/>
        <item m="1" x="37"/>
        <item m="1" x="38"/>
        <item m="1" x="21"/>
        <item m="1" x="23"/>
        <item m="1" x="41"/>
        <item m="1" x="20"/>
        <item x="18"/>
        <item m="1" x="42"/>
        <item m="1" x="25"/>
        <item x="3"/>
        <item m="1" x="39"/>
        <item m="1" x="31"/>
        <item m="1" x="33"/>
        <item m="1" x="40"/>
        <item m="1" x="27"/>
        <item x="15"/>
        <item x="16"/>
        <item x="17"/>
        <item m="1" x="29"/>
        <item x="8"/>
        <item m="1" x="32"/>
        <item x="5"/>
        <item m="1" x="35"/>
        <item m="1" x="36"/>
        <item x="0"/>
        <item x="1"/>
        <item x="2"/>
        <item x="4"/>
        <item x="6"/>
        <item x="7"/>
        <item x="9"/>
        <item x="10"/>
        <item x="14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2"/>
    <field x="3"/>
    <field x="5"/>
  </rowFields>
  <rowItems count="8">
    <i>
      <x v="2"/>
      <x v="1"/>
      <x v="36"/>
    </i>
    <i>
      <x v="33"/>
      <x v="1"/>
      <x v="36"/>
    </i>
    <i>
      <x v="34"/>
      <x v="1"/>
      <x v="36"/>
    </i>
    <i>
      <x v="36"/>
      <x v="1"/>
      <x v="37"/>
    </i>
    <i>
      <x v="37"/>
      <x v="1"/>
      <x v="20"/>
    </i>
    <i>
      <x v="39"/>
      <x v="1"/>
      <x v="20"/>
    </i>
    <i>
      <x v="40"/>
      <x v="1"/>
      <x v="3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S200 TAT" fld="6" subtotal="count" baseField="0" baseItem="0"/>
    <dataField name="Count of S300A TAT" fld="7" subtotal="count" baseField="0" baseItem="0"/>
    <dataField name="Count of S300 TAT" fld="8" subtotal="count" baseField="0" baseItem="0"/>
    <dataField name="Count of S600 TAT" fld="9" subtotal="count" baseField="0" baseItem="0"/>
    <dataField name="Count of S650 TAT" fld="11" subtotal="count" baseField="0" baseItem="0"/>
  </dataFields>
  <formats count="9">
    <format dxfId="78">
      <pivotArea field="5" type="button" dataOnly="0" labelOnly="1" outline="0" axis="axisRow" fieldPosition="2"/>
    </format>
    <format dxfId="77">
      <pivotArea field="5" type="button" dataOnly="0" labelOnly="1" outline="0" axis="axisRow" fieldPosition="2"/>
    </format>
    <format dxfId="76">
      <pivotArea field="5" type="button" dataOnly="0" labelOnly="1" outline="0" axis="axisRow" fieldPosition="2"/>
    </format>
    <format dxfId="75">
      <pivotArea dataOnly="0" labelOnly="1" outline="0" fieldPosition="0">
        <references count="1">
          <reference field="2" count="1">
            <x v="4"/>
          </reference>
        </references>
      </pivotArea>
    </format>
    <format dxfId="74">
      <pivotArea dataOnly="0" labelOnly="1" outline="0" fieldPosition="0">
        <references count="1">
          <reference field="2" count="1">
            <x v="7"/>
          </reference>
        </references>
      </pivotArea>
    </format>
    <format dxfId="73">
      <pivotArea dataOnly="0" labelOnly="1" outline="0" fieldPosition="0">
        <references count="1">
          <reference field="2" count="1">
            <x v="19"/>
          </reference>
        </references>
      </pivotArea>
    </format>
    <format dxfId="72">
      <pivotArea dataOnly="0" labelOnly="1" outline="0" fieldPosition="0">
        <references count="1">
          <reference field="2" count="1">
            <x v="27"/>
          </reference>
        </references>
      </pivotArea>
    </format>
    <format dxfId="71">
      <pivotArea dataOnly="0" labelOnly="1" outline="0" fieldPosition="0">
        <references count="2">
          <reference field="2" count="1" selected="0">
            <x v="3"/>
          </reference>
          <reference field="3" count="1">
            <x v="0"/>
          </reference>
        </references>
      </pivotArea>
    </format>
    <format dxfId="70">
      <pivotArea dataOnly="0" labelOnly="1" outline="0" fieldPosition="0">
        <references count="3">
          <reference field="2" count="1" selected="0">
            <x v="27"/>
          </reference>
          <reference field="3" count="1" selected="0">
            <x v="0"/>
          </reference>
          <reference field="5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T35" totalsRowShown="0" headerRowDxfId="69" dataDxfId="68">
  <autoFilter ref="A1:T35"/>
  <tableColumns count="20">
    <tableColumn id="1" name="S. no" dataDxfId="67"/>
    <tableColumn id="2" name="Book ID" dataDxfId="66"/>
    <tableColumn id="3" name="MPS ID" dataDxfId="65"/>
    <tableColumn id="4" name="Stage" dataDxfId="64"/>
    <tableColumn id="5" name="Received Date (S50)"/>
    <tableColumn id="6" name="Current TAT (S50 onward)"/>
    <tableColumn id="7" name="S200 TAT" dataDxfId="63"/>
    <tableColumn id="8" name="S300A TAT" dataDxfId="62"/>
    <tableColumn id="9" name="S300 TAT" dataDxfId="61"/>
    <tableColumn id="10" name="S600 TAT" dataDxfId="60"/>
    <tableColumn id="11" name="S650A TAT" dataDxfId="59"/>
    <tableColumn id="12" name="S650 TAT" dataDxfId="58"/>
    <tableColumn id="13" name="Total Chapters" dataDxfId="57"/>
    <tableColumn id="14" name="MS Pages" dataDxfId="56"/>
    <tableColumn id="15" name="Status - S200" dataDxfId="55"/>
    <tableColumn id="16" name="Status - 300" dataDxfId="54"/>
    <tableColumn id="17" name="Remarks" dataDxfId="53"/>
    <tableColumn id="18" name="Column1" dataDxfId="52"/>
    <tableColumn id="19" name="Plateform" dataDxfId="51"/>
    <tableColumn id="20" name="Column2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S17" totalsRowShown="0">
  <tableColumns count="19">
    <tableColumn id="1" name="S. no" dataDxfId="49"/>
    <tableColumn id="2" name="Book ID" dataDxfId="48"/>
    <tableColumn id="3" name="MPS ID" dataDxfId="47"/>
    <tableColumn id="4" name="Stage" dataDxfId="46"/>
    <tableColumn id="5" name="Received Date (S50)" dataDxfId="45"/>
    <tableColumn id="6" name="Total Avg. Aging Days" dataDxfId="44"/>
    <tableColumn id="7" name="Total Avg.Aging Days in S200" dataDxfId="43"/>
    <tableColumn id="8" name="S300A TAT" dataDxfId="42"/>
    <tableColumn id="9" name="S300 TAT" dataDxfId="41"/>
    <tableColumn id="10" name="S600 TAT" dataDxfId="40"/>
    <tableColumn id="11" name="S650A TAT" dataDxfId="39"/>
    <tableColumn id="12" name="S650 TAT" dataDxfId="38"/>
    <tableColumn id="13" name="Total Chapters" dataDxfId="37"/>
    <tableColumn id="14" name="MS Pages" dataDxfId="36"/>
    <tableColumn id="19" name="TS Pages" dataDxfId="35"/>
    <tableColumn id="15" name="Status - S200" dataDxfId="34"/>
    <tableColumn id="16" name="Status - 300" dataDxfId="33"/>
    <tableColumn id="17" name="Delivered Date " dataDxfId="32"/>
    <tableColumn id="18" name="Remarks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C4" totalsRowShown="0" headerRowBorderDxfId="30" tableBorderDxfId="29" totalsRowBorderDxfId="28">
  <autoFilter ref="A1:C4"/>
  <tableColumns count="3">
    <tableColumn id="1" name="DESCriptions"/>
    <tableColumn id="2" name="Column1"/>
    <tableColumn id="3" name="Overall Avg. Aging day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" name="Table1" displayName="Table1" ref="B5:C10" totalsRowShown="0" headerRowDxfId="27" dataDxfId="25" headerRowBorderDxfId="26" tableBorderDxfId="24" totalsRowBorderDxfId="23">
  <autoFilter ref="B5:C10"/>
  <tableColumns count="2">
    <tableColumn id="1" name="Month" dataDxfId="22"/>
    <tableColumn id="2" name="No of titles delivered" dataDxfId="21">
      <calculatedColumnFormula>COUNTIFS(Delivered!$R:$R,"&gt;="&amp;B6,Delivered!$R:$R,"&lt;"&amp;EDATE(B6,1))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H39"/>
  <sheetViews>
    <sheetView workbookViewId="0">
      <selection activeCell="B5" sqref="B5:B11"/>
      <pivotSelection pane="bottomRight" showHeader="1" dimension="1" activeRow="4" activeCol="1" click="1" r:id="rId1">
        <pivotArea dataOnly="0" labelOnly="1" outline="0" fieldPosition="0">
          <references count="1">
            <reference field="3" count="0"/>
          </references>
        </pivotArea>
      </pivotSelection>
    </sheetView>
  </sheetViews>
  <sheetFormatPr defaultRowHeight="14.5"/>
  <cols>
    <col min="1" max="1" width="29.1796875" customWidth="1"/>
    <col min="2" max="2" width="13.26953125" customWidth="1"/>
    <col min="3" max="3" width="14.1796875" style="59" customWidth="1"/>
    <col min="4" max="4" width="16.1796875" customWidth="1"/>
    <col min="5" max="5" width="17.453125" customWidth="1"/>
    <col min="6" max="7" width="16.1796875" customWidth="1"/>
    <col min="8" max="8" width="16.1796875" bestFit="1" customWidth="1"/>
  </cols>
  <sheetData>
    <row r="3" spans="1:8">
      <c r="C3"/>
      <c r="D3" s="89" t="s">
        <v>144</v>
      </c>
    </row>
    <row r="4" spans="1:8" ht="29">
      <c r="A4" s="89" t="s">
        <v>2</v>
      </c>
      <c r="B4" s="89" t="s">
        <v>3</v>
      </c>
      <c r="C4" s="179" t="s">
        <v>46</v>
      </c>
      <c r="D4" t="s">
        <v>143</v>
      </c>
      <c r="E4" t="s">
        <v>145</v>
      </c>
      <c r="F4" t="s">
        <v>148</v>
      </c>
      <c r="G4" t="s">
        <v>146</v>
      </c>
      <c r="H4" t="s">
        <v>147</v>
      </c>
    </row>
    <row r="5" spans="1:8">
      <c r="A5" t="s">
        <v>102</v>
      </c>
      <c r="B5" t="s">
        <v>137</v>
      </c>
      <c r="C5">
        <v>32</v>
      </c>
      <c r="D5" s="90">
        <v>1</v>
      </c>
      <c r="E5" s="90">
        <v>1</v>
      </c>
      <c r="F5" s="90">
        <v>1</v>
      </c>
      <c r="G5" s="90"/>
      <c r="H5" s="90"/>
    </row>
    <row r="6" spans="1:8">
      <c r="A6" t="s">
        <v>171</v>
      </c>
      <c r="B6" t="s">
        <v>137</v>
      </c>
      <c r="C6">
        <v>32</v>
      </c>
      <c r="D6" s="90">
        <v>1</v>
      </c>
      <c r="E6" s="90">
        <v>1</v>
      </c>
      <c r="F6" s="90">
        <v>1</v>
      </c>
      <c r="G6" s="90">
        <v>1</v>
      </c>
      <c r="H6" s="90"/>
    </row>
    <row r="7" spans="1:8">
      <c r="A7" t="s">
        <v>172</v>
      </c>
      <c r="B7" t="s">
        <v>137</v>
      </c>
      <c r="C7">
        <v>32</v>
      </c>
      <c r="D7" s="90">
        <v>1</v>
      </c>
      <c r="E7" s="90">
        <v>1</v>
      </c>
      <c r="F7" s="90">
        <v>1</v>
      </c>
      <c r="G7" s="90"/>
      <c r="H7" s="90"/>
    </row>
    <row r="8" spans="1:8">
      <c r="A8" t="s">
        <v>174</v>
      </c>
      <c r="B8" t="s">
        <v>137</v>
      </c>
      <c r="C8">
        <v>35</v>
      </c>
      <c r="D8" s="90">
        <v>1</v>
      </c>
      <c r="E8" s="90">
        <v>1</v>
      </c>
      <c r="F8" s="90">
        <v>1</v>
      </c>
      <c r="G8" s="90"/>
      <c r="H8" s="90"/>
    </row>
    <row r="9" spans="1:8">
      <c r="A9" t="s">
        <v>175</v>
      </c>
      <c r="B9" t="s">
        <v>137</v>
      </c>
      <c r="C9">
        <v>40</v>
      </c>
      <c r="D9" s="90">
        <v>1</v>
      </c>
      <c r="E9" s="90">
        <v>1</v>
      </c>
      <c r="F9" s="90">
        <v>1</v>
      </c>
      <c r="G9" s="90"/>
      <c r="H9" s="90"/>
    </row>
    <row r="10" spans="1:8">
      <c r="A10" t="s">
        <v>176</v>
      </c>
      <c r="B10" t="s">
        <v>137</v>
      </c>
      <c r="C10">
        <v>40</v>
      </c>
      <c r="D10" s="90">
        <v>1</v>
      </c>
      <c r="E10" s="90">
        <v>1</v>
      </c>
      <c r="F10" s="90">
        <v>1</v>
      </c>
      <c r="G10" s="90">
        <v>1</v>
      </c>
      <c r="H10" s="90"/>
    </row>
    <row r="11" spans="1:8">
      <c r="A11" t="s">
        <v>178</v>
      </c>
      <c r="B11" t="s">
        <v>137</v>
      </c>
      <c r="C11">
        <v>34</v>
      </c>
      <c r="D11" s="90">
        <v>1</v>
      </c>
      <c r="E11" s="90">
        <v>1</v>
      </c>
      <c r="F11" s="90">
        <v>1</v>
      </c>
      <c r="G11" s="90"/>
      <c r="H11" s="90"/>
    </row>
    <row r="12" spans="1:8">
      <c r="A12" t="s">
        <v>142</v>
      </c>
      <c r="C12"/>
      <c r="D12" s="90">
        <v>7</v>
      </c>
      <c r="E12" s="90">
        <v>7</v>
      </c>
      <c r="F12" s="90">
        <v>7</v>
      </c>
      <c r="G12" s="90">
        <v>2</v>
      </c>
      <c r="H12" s="90"/>
    </row>
    <row r="13" spans="1:8">
      <c r="C13"/>
    </row>
    <row r="14" spans="1:8">
      <c r="C14"/>
    </row>
    <row r="15" spans="1:8">
      <c r="C15"/>
    </row>
    <row r="16" spans="1:8">
      <c r="C16"/>
    </row>
    <row r="17" spans="3:3">
      <c r="C17"/>
    </row>
    <row r="18" spans="3:3">
      <c r="C18"/>
    </row>
    <row r="19" spans="3:3">
      <c r="C19"/>
    </row>
    <row r="20" spans="3:3">
      <c r="C20"/>
    </row>
    <row r="21" spans="3:3">
      <c r="C21"/>
    </row>
    <row r="22" spans="3:3">
      <c r="C22"/>
    </row>
    <row r="23" spans="3:3">
      <c r="C23"/>
    </row>
    <row r="24" spans="3:3">
      <c r="C24"/>
    </row>
    <row r="25" spans="3:3">
      <c r="C25"/>
    </row>
    <row r="26" spans="3:3">
      <c r="C26"/>
    </row>
    <row r="27" spans="3:3">
      <c r="C27"/>
    </row>
    <row r="28" spans="3:3">
      <c r="C28"/>
    </row>
    <row r="29" spans="3:3">
      <c r="C29"/>
    </row>
    <row r="30" spans="3:3">
      <c r="C30"/>
    </row>
    <row r="31" spans="3:3">
      <c r="C31"/>
    </row>
    <row r="32" spans="3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T36"/>
  <sheetViews>
    <sheetView tabSelected="1" zoomScale="99" workbookViewId="0">
      <pane ySplit="1" topLeftCell="A18" activePane="bottomLeft" state="frozen"/>
      <selection pane="bottomLeft" activeCell="C15" sqref="C15"/>
    </sheetView>
  </sheetViews>
  <sheetFormatPr defaultColWidth="15.81640625" defaultRowHeight="14.5"/>
  <cols>
    <col min="1" max="1" width="7" style="50" customWidth="1"/>
    <col min="2" max="2" width="13.08984375" style="69" customWidth="1"/>
    <col min="3" max="3" width="21.453125" style="69" customWidth="1"/>
    <col min="4" max="4" width="13.6328125" style="50" customWidth="1"/>
    <col min="5" max="5" width="18.81640625" style="27" customWidth="1"/>
    <col min="6" max="6" width="23.90625" style="27" customWidth="1"/>
    <col min="7" max="7" width="10.90625" style="50" customWidth="1"/>
    <col min="8" max="8" width="10" style="27" bestFit="1" customWidth="1"/>
    <col min="9" max="10" width="8.7265625" style="27" bestFit="1" customWidth="1"/>
    <col min="11" max="11" width="10" style="27" bestFit="1" customWidth="1"/>
    <col min="12" max="12" width="8.7265625" style="27" bestFit="1" customWidth="1"/>
    <col min="13" max="13" width="17.08984375" style="55" bestFit="1" customWidth="1"/>
    <col min="14" max="14" width="12.6328125" style="50" bestFit="1" customWidth="1"/>
    <col min="15" max="15" width="19.54296875" style="115" customWidth="1"/>
    <col min="16" max="16" width="16" style="115" customWidth="1"/>
    <col min="17" max="17" width="15.81640625" style="115" customWidth="1"/>
    <col min="18" max="18" width="19.26953125" style="26" customWidth="1"/>
    <col min="19" max="19" width="15.81640625" style="26"/>
    <col min="20" max="16384" width="15.81640625" style="27"/>
  </cols>
  <sheetData>
    <row r="1" spans="1:20" ht="15" thickBot="1">
      <c r="A1" s="56" t="s">
        <v>0</v>
      </c>
      <c r="B1" s="70" t="s">
        <v>1</v>
      </c>
      <c r="C1" s="22" t="s">
        <v>2</v>
      </c>
      <c r="D1" s="21" t="s">
        <v>3</v>
      </c>
      <c r="E1" s="21" t="s">
        <v>4</v>
      </c>
      <c r="F1" s="21" t="s">
        <v>46</v>
      </c>
      <c r="G1" s="21" t="s">
        <v>47</v>
      </c>
      <c r="H1" s="22" t="s">
        <v>48</v>
      </c>
      <c r="I1" s="22" t="s">
        <v>49</v>
      </c>
      <c r="J1" s="22" t="s">
        <v>50</v>
      </c>
      <c r="K1" s="22" t="s">
        <v>51</v>
      </c>
      <c r="L1" s="22" t="s">
        <v>52</v>
      </c>
      <c r="M1" s="21" t="s">
        <v>53</v>
      </c>
      <c r="N1" s="21" t="s">
        <v>199</v>
      </c>
      <c r="O1" s="27" t="s">
        <v>55</v>
      </c>
      <c r="P1" s="27" t="s">
        <v>56</v>
      </c>
      <c r="Q1" s="27" t="s">
        <v>57</v>
      </c>
      <c r="R1" s="26" t="s">
        <v>141</v>
      </c>
      <c r="S1" s="26" t="s">
        <v>135</v>
      </c>
      <c r="T1" s="203" t="s">
        <v>257</v>
      </c>
    </row>
    <row r="2" spans="1:20" ht="240">
      <c r="A2" s="52">
        <f t="shared" ref="A2:A10" si="0">ROW()-1</f>
        <v>1</v>
      </c>
      <c r="B2" s="71" t="s">
        <v>17</v>
      </c>
      <c r="C2" s="118" t="s">
        <v>18</v>
      </c>
      <c r="D2" s="52" t="s">
        <v>182</v>
      </c>
      <c r="E2" s="53">
        <v>46258</v>
      </c>
      <c r="F2" s="88">
        <f ca="1">TODAY()-E2</f>
        <v>65</v>
      </c>
      <c r="G2" s="52">
        <f>DATE(2026,9,19)-DATE(2026,8,24)</f>
        <v>26</v>
      </c>
      <c r="H2" s="52">
        <f>DATE(2026,10,22)-DATE(2026,9,19)</f>
        <v>33</v>
      </c>
      <c r="I2" s="52">
        <f>DATE(2026,10,24)-DATE(2026,10,22)</f>
        <v>2</v>
      </c>
      <c r="J2" s="33">
        <f ca="1">TODAY()-DATE(2026,10,25)</f>
        <v>3</v>
      </c>
      <c r="K2" s="33"/>
      <c r="L2" s="33"/>
      <c r="M2" s="33">
        <v>32</v>
      </c>
      <c r="N2" s="33">
        <v>500</v>
      </c>
      <c r="O2" s="114" t="s">
        <v>69</v>
      </c>
      <c r="P2" s="39" t="s">
        <v>202</v>
      </c>
      <c r="Q2" s="150" t="s">
        <v>195</v>
      </c>
      <c r="R2" s="105" t="s">
        <v>101</v>
      </c>
      <c r="S2" s="105" t="s">
        <v>169</v>
      </c>
      <c r="T2" s="202"/>
    </row>
    <row r="3" spans="1:20" ht="60">
      <c r="A3" s="52">
        <f t="shared" si="0"/>
        <v>2</v>
      </c>
      <c r="B3" s="67" t="s">
        <v>27</v>
      </c>
      <c r="C3" s="199" t="s">
        <v>171</v>
      </c>
      <c r="D3" s="58" t="s">
        <v>137</v>
      </c>
      <c r="E3" s="35">
        <v>46291</v>
      </c>
      <c r="F3" s="33">
        <f t="shared" ref="F3:F8" ca="1" si="1">TODAY()-E3</f>
        <v>32</v>
      </c>
      <c r="G3" s="33">
        <f>DATE(2026,10,10)-DATE(2026,9,26)</f>
        <v>14</v>
      </c>
      <c r="H3" s="104">
        <f>DATE(2026,10,24)-DATE(2026,10,10)</f>
        <v>14</v>
      </c>
      <c r="I3" s="104">
        <f>DATE(2026,10,27)-DATE(2026,10,25)</f>
        <v>2</v>
      </c>
      <c r="J3" s="54">
        <f ca="1">TODAY()-DATE(2026,10,28)</f>
        <v>0</v>
      </c>
      <c r="K3" s="26"/>
      <c r="L3" s="26"/>
      <c r="M3" s="33">
        <v>15</v>
      </c>
      <c r="N3" s="33">
        <v>200</v>
      </c>
      <c r="O3" s="114" t="s">
        <v>69</v>
      </c>
      <c r="P3" s="113" t="s">
        <v>235</v>
      </c>
      <c r="Q3" s="151" t="s">
        <v>74</v>
      </c>
      <c r="R3" s="157" t="s">
        <v>100</v>
      </c>
      <c r="S3" s="105" t="s">
        <v>169</v>
      </c>
      <c r="T3" s="176"/>
    </row>
    <row r="4" spans="1:20" ht="60">
      <c r="A4" s="52">
        <f t="shared" si="0"/>
        <v>3</v>
      </c>
      <c r="B4" s="72" t="s">
        <v>30</v>
      </c>
      <c r="C4" s="198" t="s">
        <v>172</v>
      </c>
      <c r="D4" s="58" t="s">
        <v>182</v>
      </c>
      <c r="E4" s="35">
        <v>46291</v>
      </c>
      <c r="F4" s="33">
        <f t="shared" ca="1" si="1"/>
        <v>32</v>
      </c>
      <c r="G4" s="33">
        <f>DATE(2026,10,12)-DATE(2026,9,26)</f>
        <v>16</v>
      </c>
      <c r="H4" s="104">
        <f>DATE(2026,10,22)-DATE(2026,10,12)</f>
        <v>10</v>
      </c>
      <c r="I4" s="104">
        <f>DATE(2026,10,28)-DATE(2026,10,23)</f>
        <v>5</v>
      </c>
      <c r="J4" s="104">
        <f ca="1">TODAY()-DATE(2026,10,28)</f>
        <v>0</v>
      </c>
      <c r="K4" s="104"/>
      <c r="L4" s="104"/>
      <c r="M4" s="33">
        <v>15</v>
      </c>
      <c r="N4" s="33">
        <v>200</v>
      </c>
      <c r="O4" s="114" t="s">
        <v>69</v>
      </c>
      <c r="P4" s="113"/>
      <c r="Q4" s="151" t="s">
        <v>74</v>
      </c>
      <c r="R4" s="105"/>
      <c r="S4" s="105" t="s">
        <v>169</v>
      </c>
      <c r="T4" s="176"/>
    </row>
    <row r="5" spans="1:20" ht="60">
      <c r="A5" s="52">
        <f t="shared" si="0"/>
        <v>4</v>
      </c>
      <c r="B5" s="72" t="s">
        <v>25</v>
      </c>
      <c r="C5" s="34" t="s">
        <v>173</v>
      </c>
      <c r="D5" s="33" t="s">
        <v>182</v>
      </c>
      <c r="E5" s="35">
        <v>46288</v>
      </c>
      <c r="F5" s="33">
        <f t="shared" ca="1" si="1"/>
        <v>35</v>
      </c>
      <c r="G5" s="68">
        <f>DATE(2026,10,8)-DATE(2026,9,23)</f>
        <v>15</v>
      </c>
      <c r="H5" s="54">
        <f>DATE(2026,10,24)-DATE(2026,10,8)</f>
        <v>16</v>
      </c>
      <c r="I5" s="54">
        <f>DATE(2026,10,26)-DATE(2026,10,25)</f>
        <v>1</v>
      </c>
      <c r="J5" s="54">
        <f ca="1">TODAY()-DATE(2026,10,27)</f>
        <v>1</v>
      </c>
      <c r="K5" s="54"/>
      <c r="L5" s="54"/>
      <c r="M5" s="33">
        <v>31</v>
      </c>
      <c r="N5" s="33">
        <v>280</v>
      </c>
      <c r="O5" s="114" t="s">
        <v>69</v>
      </c>
      <c r="P5" s="113" t="s">
        <v>209</v>
      </c>
      <c r="Q5" s="151" t="s">
        <v>73</v>
      </c>
      <c r="R5" s="105" t="s">
        <v>101</v>
      </c>
      <c r="S5" s="105" t="s">
        <v>169</v>
      </c>
      <c r="T5" s="176"/>
    </row>
    <row r="6" spans="1:20" ht="60">
      <c r="A6" s="52">
        <f t="shared" si="0"/>
        <v>5</v>
      </c>
      <c r="B6" s="72" t="s">
        <v>26</v>
      </c>
      <c r="C6" s="198" t="s">
        <v>174</v>
      </c>
      <c r="D6" s="33" t="s">
        <v>137</v>
      </c>
      <c r="E6" s="35">
        <v>46288</v>
      </c>
      <c r="F6" s="33">
        <f t="shared" ca="1" si="1"/>
        <v>35</v>
      </c>
      <c r="G6" s="193">
        <f>DATE(2026,10,14)-DATE(2026,10,2)</f>
        <v>12</v>
      </c>
      <c r="H6" s="104">
        <f>DATE(2026,10,27)-DATE(2026,10,14)</f>
        <v>13</v>
      </c>
      <c r="I6" s="104">
        <f ca="1">TODAY()-DATE(2026,10,28)</f>
        <v>0</v>
      </c>
      <c r="J6" s="104"/>
      <c r="K6" s="104"/>
      <c r="L6" s="104"/>
      <c r="M6" s="33">
        <v>25</v>
      </c>
      <c r="N6" s="33">
        <v>240</v>
      </c>
      <c r="O6" s="114" t="s">
        <v>69</v>
      </c>
      <c r="P6" s="113" t="s">
        <v>259</v>
      </c>
      <c r="Q6" s="151" t="s">
        <v>154</v>
      </c>
      <c r="R6" s="158" t="s">
        <v>187</v>
      </c>
      <c r="S6" s="105" t="s">
        <v>169</v>
      </c>
      <c r="T6" s="176"/>
    </row>
    <row r="7" spans="1:20" ht="60">
      <c r="A7" s="52">
        <f t="shared" si="0"/>
        <v>6</v>
      </c>
      <c r="B7" s="72" t="s">
        <v>29</v>
      </c>
      <c r="C7" s="34" t="s">
        <v>175</v>
      </c>
      <c r="D7" s="33" t="s">
        <v>137</v>
      </c>
      <c r="E7" s="35">
        <v>46283</v>
      </c>
      <c r="F7" s="33">
        <f t="shared" ca="1" si="1"/>
        <v>40</v>
      </c>
      <c r="G7" s="33">
        <f>DATE(2026,10,7)-DATE(2026,9,21)</f>
        <v>16</v>
      </c>
      <c r="H7" s="54">
        <f>DATE(2026,10,24)-DATE(2026,10,8)</f>
        <v>16</v>
      </c>
      <c r="I7" s="148">
        <f>DATE(2026,10,28)-DATE(2026,10,25)</f>
        <v>3</v>
      </c>
      <c r="J7" s="26"/>
      <c r="K7" s="26"/>
      <c r="L7" s="26"/>
      <c r="M7" s="33">
        <v>25</v>
      </c>
      <c r="N7" s="33">
        <v>244</v>
      </c>
      <c r="O7" s="114" t="s">
        <v>69</v>
      </c>
      <c r="P7" s="113" t="s">
        <v>258</v>
      </c>
      <c r="Q7" s="151" t="s">
        <v>128</v>
      </c>
      <c r="R7" s="105" t="s">
        <v>138</v>
      </c>
      <c r="S7" s="105" t="s">
        <v>169</v>
      </c>
      <c r="T7" s="176"/>
    </row>
    <row r="8" spans="1:20" s="147" customFormat="1" ht="60">
      <c r="A8" s="140">
        <f t="shared" si="0"/>
        <v>7</v>
      </c>
      <c r="B8" s="141" t="s">
        <v>28</v>
      </c>
      <c r="C8" s="119" t="s">
        <v>177</v>
      </c>
      <c r="D8" s="140" t="s">
        <v>208</v>
      </c>
      <c r="E8" s="142">
        <v>46283</v>
      </c>
      <c r="F8" s="140">
        <f t="shared" ca="1" si="1"/>
        <v>40</v>
      </c>
      <c r="G8" s="140">
        <f>DATE(2026,10,7)-DATE(2026,9,21)</f>
        <v>16</v>
      </c>
      <c r="H8" s="143">
        <f>DATE(2026,10,19)-DATE(2026,10,12)</f>
        <v>7</v>
      </c>
      <c r="I8" s="143">
        <f ca="1">TODAY()-DATE(2026,10,20)</f>
        <v>8</v>
      </c>
      <c r="J8" s="143">
        <f>DATE(2026,10,26)-DATE(2026,10,22)</f>
        <v>4</v>
      </c>
      <c r="K8" s="143">
        <f ca="1">TODAY()-DATE(2026,10,27)</f>
        <v>1</v>
      </c>
      <c r="L8" s="144"/>
      <c r="M8" s="140">
        <v>9</v>
      </c>
      <c r="N8" s="140">
        <v>100</v>
      </c>
      <c r="O8" s="145" t="s">
        <v>69</v>
      </c>
      <c r="P8" s="146"/>
      <c r="Q8" s="152" t="s">
        <v>73</v>
      </c>
      <c r="R8" s="144"/>
      <c r="S8" s="144" t="s">
        <v>169</v>
      </c>
      <c r="T8" s="176"/>
    </row>
    <row r="9" spans="1:20" ht="60">
      <c r="A9" s="33">
        <f t="shared" si="0"/>
        <v>8</v>
      </c>
      <c r="B9" s="86" t="s">
        <v>23</v>
      </c>
      <c r="C9" s="34" t="s">
        <v>176</v>
      </c>
      <c r="D9" s="33" t="s">
        <v>182</v>
      </c>
      <c r="E9" s="35">
        <v>46283</v>
      </c>
      <c r="F9" s="33">
        <f t="shared" ref="F9:F19" ca="1" si="2">TODAY()-E9</f>
        <v>40</v>
      </c>
      <c r="G9" s="33">
        <f>DATE(2026,10,9)-DATE(2026,9,21)</f>
        <v>18</v>
      </c>
      <c r="H9" s="54">
        <f>DATE(2026,10,24)-DATE(2026,10,12)</f>
        <v>12</v>
      </c>
      <c r="I9" s="148">
        <f>DATE(2026,10,28)-DATE(2026,10,25)</f>
        <v>3</v>
      </c>
      <c r="J9" s="104">
        <f ca="1">TODAY()-DATE(2026,10,28)</f>
        <v>0</v>
      </c>
      <c r="K9" s="105"/>
      <c r="L9" s="105"/>
      <c r="M9" s="33">
        <v>13</v>
      </c>
      <c r="N9" s="33">
        <v>120</v>
      </c>
      <c r="O9" s="114" t="s">
        <v>69</v>
      </c>
      <c r="P9" s="113" t="s">
        <v>236</v>
      </c>
      <c r="Q9" s="151" t="s">
        <v>73</v>
      </c>
      <c r="R9" s="105"/>
      <c r="S9" s="105" t="s">
        <v>169</v>
      </c>
      <c r="T9" s="176"/>
    </row>
    <row r="10" spans="1:20" ht="60">
      <c r="A10" s="52">
        <f t="shared" si="0"/>
        <v>9</v>
      </c>
      <c r="B10" s="67" t="s">
        <v>31</v>
      </c>
      <c r="C10" s="199" t="s">
        <v>178</v>
      </c>
      <c r="D10" s="58" t="s">
        <v>137</v>
      </c>
      <c r="E10" s="35">
        <v>46289</v>
      </c>
      <c r="F10" s="58">
        <f t="shared" ca="1" si="2"/>
        <v>34</v>
      </c>
      <c r="G10" s="33">
        <f ca="1">TODAY()-DATE(2026,9,25)</f>
        <v>33</v>
      </c>
      <c r="H10" s="54">
        <f>DATE(2026,10,24)-DATE(2026,10,12)</f>
        <v>12</v>
      </c>
      <c r="I10" s="148">
        <f ca="1">TODAY()-DATE(2026,10,25)</f>
        <v>3</v>
      </c>
      <c r="J10" s="105"/>
      <c r="K10" s="105"/>
      <c r="L10" s="105"/>
      <c r="M10" s="33">
        <v>37</v>
      </c>
      <c r="N10" s="33">
        <v>200</v>
      </c>
      <c r="O10" s="114" t="s">
        <v>69</v>
      </c>
      <c r="P10" s="113" t="s">
        <v>203</v>
      </c>
      <c r="Q10" s="151" t="s">
        <v>75</v>
      </c>
      <c r="R10" s="157" t="s">
        <v>100</v>
      </c>
      <c r="S10" s="105" t="s">
        <v>169</v>
      </c>
      <c r="T10" s="176"/>
    </row>
    <row r="11" spans="1:20" ht="60">
      <c r="A11" s="52">
        <f t="shared" ref="A11" si="3">ROW()-1</f>
        <v>10</v>
      </c>
      <c r="B11" s="67" t="s">
        <v>112</v>
      </c>
      <c r="C11" s="198" t="s">
        <v>179</v>
      </c>
      <c r="D11" s="8" t="s">
        <v>72</v>
      </c>
      <c r="E11" s="35">
        <v>46295</v>
      </c>
      <c r="F11" s="8">
        <f ca="1">TODAY()-E11</f>
        <v>28</v>
      </c>
      <c r="G11" s="104">
        <f>DATE(2026,10,27)-DATE(2026,10,12)</f>
        <v>15</v>
      </c>
      <c r="H11" s="104">
        <f ca="1">TODAY()-DATE(2026,10,28)</f>
        <v>0</v>
      </c>
      <c r="I11" s="105"/>
      <c r="J11" s="105"/>
      <c r="K11" s="105"/>
      <c r="L11" s="105"/>
      <c r="M11" s="33">
        <v>78</v>
      </c>
      <c r="N11" s="33">
        <v>750</v>
      </c>
      <c r="O11" s="114" t="s">
        <v>237</v>
      </c>
      <c r="P11" s="113" t="s">
        <v>238</v>
      </c>
      <c r="Q11" s="151" t="s">
        <v>166</v>
      </c>
      <c r="R11" s="105"/>
      <c r="S11" s="105" t="s">
        <v>169</v>
      </c>
      <c r="T11" s="176"/>
    </row>
    <row r="12" spans="1:20" ht="60">
      <c r="A12" s="52">
        <f t="shared" ref="A12:A35" si="4">ROW()-1</f>
        <v>11</v>
      </c>
      <c r="B12" s="67" t="s">
        <v>32</v>
      </c>
      <c r="C12" s="198" t="s">
        <v>113</v>
      </c>
      <c r="D12" s="33" t="s">
        <v>72</v>
      </c>
      <c r="E12" s="35">
        <v>46293</v>
      </c>
      <c r="F12" s="33">
        <f t="shared" ca="1" si="2"/>
        <v>30</v>
      </c>
      <c r="G12" s="104">
        <f>DATE(2026,10,21)-DATE(2026,9,30)</f>
        <v>21</v>
      </c>
      <c r="H12" s="104">
        <f ca="1">TODAY()-DATE(2026,10,26)</f>
        <v>2</v>
      </c>
      <c r="I12" s="104"/>
      <c r="J12" s="105"/>
      <c r="K12" s="105"/>
      <c r="L12" s="105"/>
      <c r="M12" s="33">
        <v>81</v>
      </c>
      <c r="N12" s="33">
        <v>600</v>
      </c>
      <c r="O12" s="114" t="s">
        <v>69</v>
      </c>
      <c r="P12" s="113" t="s">
        <v>239</v>
      </c>
      <c r="Q12" s="151" t="s">
        <v>76</v>
      </c>
      <c r="R12" s="105"/>
      <c r="S12" s="105" t="s">
        <v>169</v>
      </c>
      <c r="T12" s="176"/>
    </row>
    <row r="13" spans="1:20" ht="60">
      <c r="A13" s="52">
        <f t="shared" si="4"/>
        <v>12</v>
      </c>
      <c r="B13" s="87" t="s">
        <v>33</v>
      </c>
      <c r="C13" s="119" t="s">
        <v>34</v>
      </c>
      <c r="D13" s="33" t="s">
        <v>45</v>
      </c>
      <c r="E13" s="35">
        <v>46286</v>
      </c>
      <c r="F13" s="33">
        <f t="shared" ca="1" si="2"/>
        <v>37</v>
      </c>
      <c r="G13" s="33">
        <f>DATE(2026,10,7)-DATE(2026,9,21)</f>
        <v>16</v>
      </c>
      <c r="H13" s="107">
        <f ca="1">TODAY()-DATE(2026,10,7)</f>
        <v>21</v>
      </c>
      <c r="I13" s="107">
        <f ca="1">TODAY()-DATE(2026,10,23)</f>
        <v>5</v>
      </c>
      <c r="J13" s="107">
        <f>DATE(2026,10,24)-DATE(2026,10,23)</f>
        <v>1</v>
      </c>
      <c r="K13" s="107">
        <f>DATE(2026,10,27)-DATE(2026,10,26)</f>
        <v>1</v>
      </c>
      <c r="L13" s="104">
        <f ca="1">TODAY()-DATE(2026,10,28)</f>
        <v>0</v>
      </c>
      <c r="M13" s="33">
        <v>7</v>
      </c>
      <c r="N13" s="33">
        <v>100</v>
      </c>
      <c r="O13" s="114" t="s">
        <v>69</v>
      </c>
      <c r="P13" s="113" t="s">
        <v>190</v>
      </c>
      <c r="Q13" s="151" t="s">
        <v>200</v>
      </c>
      <c r="R13" s="105"/>
      <c r="S13" s="105" t="s">
        <v>169</v>
      </c>
      <c r="T13" s="176"/>
    </row>
    <row r="14" spans="1:20" ht="60">
      <c r="A14" s="52">
        <f t="shared" si="4"/>
        <v>13</v>
      </c>
      <c r="B14" s="87" t="s">
        <v>35</v>
      </c>
      <c r="C14" s="119" t="s">
        <v>36</v>
      </c>
      <c r="D14" s="33" t="s">
        <v>208</v>
      </c>
      <c r="E14" s="35">
        <v>46282</v>
      </c>
      <c r="F14" s="33">
        <f ca="1">TODAY()-DATE(2026,9,17)</f>
        <v>41</v>
      </c>
      <c r="G14" s="33">
        <f>DATE(2026,10,6)-DATE(2026,9,17)</f>
        <v>19</v>
      </c>
      <c r="H14" s="104">
        <f>DATE(2026,10,21)-DATE(2026,10,8)</f>
        <v>13</v>
      </c>
      <c r="I14" s="104">
        <f>DATE(2026,10,22)-DATE(2026,10,21)</f>
        <v>1</v>
      </c>
      <c r="J14" s="139">
        <f>DATE(2026,10,24)-DATE(2026,10,23)</f>
        <v>1</v>
      </c>
      <c r="K14" s="107">
        <f ca="1">TODAY()-DATE(2026,10,26)</f>
        <v>2</v>
      </c>
      <c r="L14" s="108"/>
      <c r="M14" s="33">
        <v>41</v>
      </c>
      <c r="N14" s="33">
        <v>500</v>
      </c>
      <c r="O14" s="114" t="s">
        <v>69</v>
      </c>
      <c r="P14" s="113"/>
      <c r="Q14" s="153" t="s">
        <v>76</v>
      </c>
      <c r="R14" s="105"/>
      <c r="S14" s="105" t="s">
        <v>169</v>
      </c>
      <c r="T14" s="176"/>
    </row>
    <row r="15" spans="1:20" ht="60">
      <c r="A15" s="52">
        <f t="shared" si="4"/>
        <v>14</v>
      </c>
      <c r="B15" s="67" t="s">
        <v>37</v>
      </c>
      <c r="C15" s="198" t="s">
        <v>114</v>
      </c>
      <c r="D15" s="33" t="s">
        <v>19</v>
      </c>
      <c r="E15" s="35">
        <v>46294</v>
      </c>
      <c r="F15" s="46">
        <f t="shared" ca="1" si="2"/>
        <v>29</v>
      </c>
      <c r="G15" s="104">
        <f ca="1">TODAY()-DATE(2026,10,3)</f>
        <v>25</v>
      </c>
      <c r="H15" s="105"/>
      <c r="I15" s="105"/>
      <c r="J15" s="105"/>
      <c r="K15" s="105"/>
      <c r="L15" s="105"/>
      <c r="M15" s="33">
        <v>36</v>
      </c>
      <c r="N15" s="33">
        <v>500</v>
      </c>
      <c r="O15" s="114" t="s">
        <v>240</v>
      </c>
      <c r="P15" s="113" t="s">
        <v>184</v>
      </c>
      <c r="Q15" s="151" t="s">
        <v>163</v>
      </c>
      <c r="R15" s="105"/>
      <c r="S15" s="105" t="s">
        <v>168</v>
      </c>
      <c r="T15" s="176"/>
    </row>
    <row r="16" spans="1:20" ht="60">
      <c r="A16" s="52">
        <f t="shared" si="4"/>
        <v>15</v>
      </c>
      <c r="B16" s="67" t="s">
        <v>97</v>
      </c>
      <c r="C16" s="198" t="s">
        <v>96</v>
      </c>
      <c r="D16" s="33" t="s">
        <v>72</v>
      </c>
      <c r="E16" s="35">
        <v>46292</v>
      </c>
      <c r="F16" s="33">
        <f t="shared" ca="1" si="2"/>
        <v>31</v>
      </c>
      <c r="G16" s="104">
        <f>DATE(2026,10,27)-DATE(2026,9,28)</f>
        <v>29</v>
      </c>
      <c r="H16" s="104">
        <f ca="1">TODAY()-DATE(2026,10,28)</f>
        <v>0</v>
      </c>
      <c r="I16" s="104">
        <f ca="1">TODAY()-DATE(2026,10,28)</f>
        <v>0</v>
      </c>
      <c r="J16" s="105"/>
      <c r="K16" s="105"/>
      <c r="L16" s="105"/>
      <c r="M16" s="33">
        <v>31</v>
      </c>
      <c r="N16" s="104">
        <v>500</v>
      </c>
      <c r="O16" s="114" t="s">
        <v>241</v>
      </c>
      <c r="P16" s="113" t="s">
        <v>252</v>
      </c>
      <c r="Q16" s="151"/>
      <c r="R16" s="105"/>
      <c r="S16" s="105" t="s">
        <v>169</v>
      </c>
      <c r="T16" s="176"/>
    </row>
    <row r="17" spans="1:20" ht="60">
      <c r="A17" s="52">
        <f t="shared" si="4"/>
        <v>16</v>
      </c>
      <c r="B17" s="67" t="s">
        <v>103</v>
      </c>
      <c r="C17" s="34" t="s">
        <v>102</v>
      </c>
      <c r="D17" s="33" t="s">
        <v>137</v>
      </c>
      <c r="E17" s="35">
        <v>46291</v>
      </c>
      <c r="F17" s="33">
        <f t="shared" ca="1" si="2"/>
        <v>32</v>
      </c>
      <c r="G17" s="52">
        <f>DATE(2026,10,22)-DATE(2026,9,28)</f>
        <v>24</v>
      </c>
      <c r="H17" s="104">
        <f>DATE(2026,10,27)-DATE(2026,10,22)</f>
        <v>5</v>
      </c>
      <c r="I17" s="104">
        <f ca="1">TODAY()-DATE(2026,10,28)</f>
        <v>0</v>
      </c>
      <c r="J17" s="105"/>
      <c r="K17" s="105"/>
      <c r="L17" s="105"/>
      <c r="M17" s="33">
        <v>28</v>
      </c>
      <c r="N17" s="104">
        <v>350</v>
      </c>
      <c r="O17" s="117" t="s">
        <v>69</v>
      </c>
      <c r="P17" s="116" t="s">
        <v>242</v>
      </c>
      <c r="Q17" s="153"/>
      <c r="R17" s="105"/>
      <c r="S17" s="105" t="s">
        <v>169</v>
      </c>
      <c r="T17" s="176"/>
    </row>
    <row r="18" spans="1:20" ht="60">
      <c r="A18" s="52">
        <f t="shared" si="4"/>
        <v>17</v>
      </c>
      <c r="B18" s="67" t="s">
        <v>104</v>
      </c>
      <c r="C18" s="201" t="s">
        <v>157</v>
      </c>
      <c r="D18" s="8" t="s">
        <v>19</v>
      </c>
      <c r="E18" s="35">
        <v>46302</v>
      </c>
      <c r="F18" s="33">
        <f t="shared" ca="1" si="2"/>
        <v>21</v>
      </c>
      <c r="G18" s="87">
        <f ca="1">TODAY()-DATE(2026,10,21)</f>
        <v>7</v>
      </c>
      <c r="H18" s="105"/>
      <c r="I18" s="105"/>
      <c r="J18" s="105"/>
      <c r="K18" s="105"/>
      <c r="L18" s="105"/>
      <c r="M18" s="33">
        <f>129+6</f>
        <v>135</v>
      </c>
      <c r="N18" s="104">
        <v>1500</v>
      </c>
      <c r="O18" s="117" t="s">
        <v>214</v>
      </c>
      <c r="P18" s="113" t="s">
        <v>253</v>
      </c>
      <c r="Q18" s="154" t="s">
        <v>188</v>
      </c>
      <c r="R18" s="105"/>
      <c r="S18" s="105" t="s">
        <v>168</v>
      </c>
      <c r="T18" s="176"/>
    </row>
    <row r="19" spans="1:20" ht="33.5" customHeight="1">
      <c r="A19" s="52">
        <f t="shared" si="4"/>
        <v>18</v>
      </c>
      <c r="B19" s="159" t="s">
        <v>105</v>
      </c>
      <c r="C19" s="200" t="s">
        <v>106</v>
      </c>
      <c r="D19" s="163" t="s">
        <v>19</v>
      </c>
      <c r="E19" s="35">
        <v>46295</v>
      </c>
      <c r="F19" s="33">
        <f t="shared" ca="1" si="2"/>
        <v>28</v>
      </c>
      <c r="G19" s="106">
        <f ca="1">TODAY()-DATE(2026,10,13)</f>
        <v>15</v>
      </c>
      <c r="H19" s="105"/>
      <c r="I19" s="105"/>
      <c r="J19" s="105"/>
      <c r="K19" s="105"/>
      <c r="L19" s="105"/>
      <c r="M19" s="33">
        <v>48</v>
      </c>
      <c r="N19" s="104">
        <v>550</v>
      </c>
      <c r="O19" s="114" t="s">
        <v>215</v>
      </c>
      <c r="P19" s="113" t="s">
        <v>164</v>
      </c>
      <c r="Q19" s="151"/>
      <c r="R19" s="105"/>
      <c r="S19" s="105" t="s">
        <v>183</v>
      </c>
      <c r="T19" s="176"/>
    </row>
    <row r="20" spans="1:20" ht="60">
      <c r="A20" s="52">
        <f t="shared" si="4"/>
        <v>19</v>
      </c>
      <c r="B20" s="87" t="s">
        <v>111</v>
      </c>
      <c r="C20" s="198" t="s">
        <v>115</v>
      </c>
      <c r="D20" s="8" t="s">
        <v>19</v>
      </c>
      <c r="E20" s="35">
        <v>46295</v>
      </c>
      <c r="F20" s="8">
        <f t="shared" ref="F20" ca="1" si="5">TODAY()-E20</f>
        <v>28</v>
      </c>
      <c r="G20" s="106">
        <f ca="1">TODAY()-DATE(2026,10,12)</f>
        <v>16</v>
      </c>
      <c r="H20" s="105"/>
      <c r="I20" s="105"/>
      <c r="J20" s="105"/>
      <c r="K20" s="105"/>
      <c r="L20" s="105"/>
      <c r="M20" s="33">
        <v>40</v>
      </c>
      <c r="N20" s="104">
        <v>450</v>
      </c>
      <c r="O20" s="114" t="s">
        <v>216</v>
      </c>
      <c r="P20" s="113"/>
      <c r="Q20" s="151" t="s">
        <v>170</v>
      </c>
      <c r="R20" s="105"/>
      <c r="S20" s="105" t="s">
        <v>169</v>
      </c>
      <c r="T20" s="176"/>
    </row>
    <row r="21" spans="1:20" ht="85">
      <c r="A21" s="52">
        <f t="shared" si="4"/>
        <v>20</v>
      </c>
      <c r="B21" s="87" t="s">
        <v>116</v>
      </c>
      <c r="C21" s="34" t="s">
        <v>136</v>
      </c>
      <c r="D21" s="8" t="s">
        <v>19</v>
      </c>
      <c r="E21" s="35">
        <v>46307</v>
      </c>
      <c r="F21" s="8">
        <f ca="1">TODAY()-E21</f>
        <v>16</v>
      </c>
      <c r="G21" s="106"/>
      <c r="H21" s="105"/>
      <c r="I21" s="105"/>
      <c r="J21" s="105"/>
      <c r="K21" s="105"/>
      <c r="L21" s="105"/>
      <c r="M21" s="33">
        <v>31</v>
      </c>
      <c r="N21" s="104">
        <v>350</v>
      </c>
      <c r="O21" s="114" t="s">
        <v>243</v>
      </c>
      <c r="P21" s="113" t="s">
        <v>254</v>
      </c>
      <c r="Q21" s="151" t="s">
        <v>255</v>
      </c>
      <c r="R21" s="105" t="s">
        <v>226</v>
      </c>
      <c r="S21" s="105" t="s">
        <v>169</v>
      </c>
      <c r="T21" s="176"/>
    </row>
    <row r="22" spans="1:20" ht="60">
      <c r="A22" s="52">
        <f t="shared" si="4"/>
        <v>21</v>
      </c>
      <c r="B22" s="87" t="s">
        <v>126</v>
      </c>
      <c r="C22" s="34" t="s">
        <v>127</v>
      </c>
      <c r="D22" s="8" t="s">
        <v>19</v>
      </c>
      <c r="E22" s="35">
        <v>46307</v>
      </c>
      <c r="F22" s="107">
        <f ca="1">TODAY()-E22</f>
        <v>16</v>
      </c>
      <c r="G22" s="104">
        <f ca="1">TODAY()-DATE(2026,10,19)</f>
        <v>9</v>
      </c>
      <c r="H22" s="170"/>
      <c r="I22" s="170"/>
      <c r="J22" s="170"/>
      <c r="K22" s="105"/>
      <c r="L22" s="105"/>
      <c r="M22" s="33">
        <v>28</v>
      </c>
      <c r="N22" s="104">
        <v>500</v>
      </c>
      <c r="O22" s="114" t="s">
        <v>186</v>
      </c>
      <c r="P22" s="113"/>
      <c r="Q22" s="155"/>
      <c r="R22" s="105"/>
      <c r="S22" s="105" t="s">
        <v>169</v>
      </c>
      <c r="T22" s="176"/>
    </row>
    <row r="23" spans="1:20" ht="60">
      <c r="A23" s="52">
        <f t="shared" si="4"/>
        <v>22</v>
      </c>
      <c r="B23" s="87" t="s">
        <v>109</v>
      </c>
      <c r="C23" s="198" t="s">
        <v>110</v>
      </c>
      <c r="D23" s="8" t="s">
        <v>19</v>
      </c>
      <c r="E23" s="9">
        <v>46302</v>
      </c>
      <c r="F23" s="171">
        <f ca="1">TODAY()-E23</f>
        <v>21</v>
      </c>
      <c r="G23" s="104" t="str">
        <f ca="1">TRIM(TODAY()-DATE(2026,10,19))</f>
        <v>9</v>
      </c>
      <c r="H23" s="170"/>
      <c r="I23" s="170"/>
      <c r="J23" s="105"/>
      <c r="K23" s="105"/>
      <c r="L23" s="105"/>
      <c r="M23" s="33">
        <v>36</v>
      </c>
      <c r="N23" s="104">
        <v>450</v>
      </c>
      <c r="O23" s="114" t="s">
        <v>244</v>
      </c>
      <c r="P23" s="113"/>
      <c r="Q23" s="155"/>
      <c r="R23" s="105"/>
      <c r="S23" s="105"/>
      <c r="T23" s="176"/>
    </row>
    <row r="24" spans="1:20" ht="60">
      <c r="A24" s="52">
        <f t="shared" si="4"/>
        <v>23</v>
      </c>
      <c r="B24" s="172" t="s">
        <v>129</v>
      </c>
      <c r="C24" s="34" t="s">
        <v>130</v>
      </c>
      <c r="D24" s="8" t="s">
        <v>19</v>
      </c>
      <c r="E24" s="149">
        <v>46309</v>
      </c>
      <c r="F24" s="171">
        <f ca="1">TODAY()-E24</f>
        <v>14</v>
      </c>
      <c r="G24" s="104">
        <f ca="1">TODAY()-DATE(2026,10,22)</f>
        <v>6</v>
      </c>
      <c r="H24" s="105"/>
      <c r="I24" s="105"/>
      <c r="J24" s="105"/>
      <c r="K24" s="105"/>
      <c r="L24" s="105"/>
      <c r="M24" s="33">
        <v>42</v>
      </c>
      <c r="N24" s="104">
        <v>500</v>
      </c>
      <c r="O24" s="114" t="s">
        <v>205</v>
      </c>
      <c r="P24" s="113"/>
      <c r="Q24" s="151"/>
      <c r="R24" s="105"/>
      <c r="S24" s="105" t="s">
        <v>169</v>
      </c>
      <c r="T24" s="176"/>
    </row>
    <row r="25" spans="1:20" ht="60">
      <c r="A25" s="52">
        <f t="shared" si="4"/>
        <v>24</v>
      </c>
      <c r="B25" s="172" t="s">
        <v>139</v>
      </c>
      <c r="C25" s="34" t="s">
        <v>140</v>
      </c>
      <c r="D25" s="163" t="s">
        <v>19</v>
      </c>
      <c r="E25" s="149">
        <v>46312</v>
      </c>
      <c r="F25" s="110">
        <f ca="1">TODAY()-E25</f>
        <v>11</v>
      </c>
      <c r="G25" s="106">
        <f ca="1">TODAY()-DATE(2026,10,22)</f>
        <v>6</v>
      </c>
      <c r="H25" s="105"/>
      <c r="I25" s="105"/>
      <c r="J25" s="105"/>
      <c r="K25" s="105"/>
      <c r="L25" s="105"/>
      <c r="M25" s="104">
        <v>23</v>
      </c>
      <c r="N25" s="106">
        <v>350</v>
      </c>
      <c r="O25" s="114" t="s">
        <v>201</v>
      </c>
      <c r="P25" s="113"/>
      <c r="Q25" s="151"/>
      <c r="R25" s="105"/>
      <c r="S25" s="105" t="s">
        <v>169</v>
      </c>
      <c r="T25" s="176"/>
    </row>
    <row r="26" spans="1:20" ht="60">
      <c r="A26" s="52">
        <f t="shared" si="4"/>
        <v>25</v>
      </c>
      <c r="B26" s="173" t="s">
        <v>156</v>
      </c>
      <c r="C26" s="34" t="s">
        <v>191</v>
      </c>
      <c r="D26" s="8" t="s">
        <v>158</v>
      </c>
      <c r="E26" s="111">
        <v>46312</v>
      </c>
      <c r="F26" s="110">
        <f t="shared" ref="F26" ca="1" si="6">TODAY()-E26</f>
        <v>11</v>
      </c>
      <c r="G26" s="106"/>
      <c r="H26" s="105"/>
      <c r="I26" s="105"/>
      <c r="J26" s="105"/>
      <c r="K26" s="105"/>
      <c r="L26" s="105"/>
      <c r="M26" s="33">
        <v>56</v>
      </c>
      <c r="N26" s="104">
        <v>300</v>
      </c>
      <c r="O26" s="114" t="s">
        <v>217</v>
      </c>
      <c r="P26" s="112"/>
      <c r="Q26" s="156"/>
      <c r="R26" s="105"/>
      <c r="S26" s="105" t="s">
        <v>168</v>
      </c>
      <c r="T26" s="176"/>
    </row>
    <row r="27" spans="1:20">
      <c r="A27" s="52">
        <f t="shared" si="4"/>
        <v>26</v>
      </c>
      <c r="B27" s="121" t="s">
        <v>159</v>
      </c>
      <c r="C27" s="34" t="s">
        <v>160</v>
      </c>
      <c r="D27" s="8" t="s">
        <v>158</v>
      </c>
      <c r="E27" s="111">
        <v>46316</v>
      </c>
      <c r="F27" s="110">
        <f t="shared" ref="F27:F33" ca="1" si="7">TODAY()-E27</f>
        <v>7</v>
      </c>
      <c r="G27" s="106"/>
      <c r="H27" s="105"/>
      <c r="I27" s="105"/>
      <c r="J27" s="105"/>
      <c r="K27" s="105"/>
      <c r="L27" s="120"/>
      <c r="M27" s="33">
        <v>109</v>
      </c>
      <c r="N27" s="106">
        <v>350</v>
      </c>
      <c r="O27" s="112"/>
      <c r="P27" s="112"/>
      <c r="Q27" s="156"/>
      <c r="R27" s="105"/>
      <c r="S27" s="105" t="s">
        <v>169</v>
      </c>
      <c r="T27" s="176"/>
    </row>
    <row r="28" spans="1:20" ht="60">
      <c r="A28" s="52">
        <f t="shared" si="4"/>
        <v>27</v>
      </c>
      <c r="B28" s="121" t="s">
        <v>161</v>
      </c>
      <c r="C28" s="34" t="s">
        <v>162</v>
      </c>
      <c r="D28" s="8" t="s">
        <v>158</v>
      </c>
      <c r="E28" s="149">
        <v>46316</v>
      </c>
      <c r="F28" s="171">
        <f t="shared" ca="1" si="7"/>
        <v>7</v>
      </c>
      <c r="G28" s="104">
        <f ca="1">TODAY()-DATE(2026,10,25)</f>
        <v>3</v>
      </c>
      <c r="H28" s="170"/>
      <c r="I28" s="170"/>
      <c r="J28" s="105"/>
      <c r="K28" s="105"/>
      <c r="L28" s="120"/>
      <c r="M28" s="33">
        <v>69</v>
      </c>
      <c r="N28" s="104">
        <v>400</v>
      </c>
      <c r="O28" s="114" t="s">
        <v>218</v>
      </c>
      <c r="P28" s="112"/>
      <c r="Q28" s="156"/>
      <c r="R28" s="105"/>
      <c r="S28" s="105" t="s">
        <v>168</v>
      </c>
      <c r="T28" s="176"/>
    </row>
    <row r="29" spans="1:20" ht="60">
      <c r="A29" s="52">
        <f t="shared" si="4"/>
        <v>28</v>
      </c>
      <c r="B29" s="121" t="s">
        <v>167</v>
      </c>
      <c r="C29" s="34" t="s">
        <v>192</v>
      </c>
      <c r="D29" s="8" t="s">
        <v>19</v>
      </c>
      <c r="E29" s="149">
        <v>46312</v>
      </c>
      <c r="F29" s="171">
        <f t="shared" ca="1" si="7"/>
        <v>11</v>
      </c>
      <c r="G29" s="104">
        <f ca="1">TODAY()-DATE(2026,10,22)</f>
        <v>6</v>
      </c>
      <c r="H29" s="170"/>
      <c r="I29" s="195"/>
      <c r="J29" s="170"/>
      <c r="K29" s="195"/>
      <c r="L29" s="195"/>
      <c r="M29" s="33">
        <v>33</v>
      </c>
      <c r="N29" s="104">
        <v>450</v>
      </c>
      <c r="O29" s="114" t="s">
        <v>219</v>
      </c>
      <c r="P29" s="112"/>
      <c r="Q29" s="156"/>
      <c r="R29" s="105"/>
      <c r="S29" s="105" t="s">
        <v>169</v>
      </c>
      <c r="T29" s="176"/>
    </row>
    <row r="30" spans="1:20">
      <c r="A30" s="33">
        <f t="shared" si="4"/>
        <v>29</v>
      </c>
      <c r="B30" s="121" t="s">
        <v>193</v>
      </c>
      <c r="C30" s="34" t="s">
        <v>194</v>
      </c>
      <c r="D30" s="8" t="s">
        <v>24</v>
      </c>
      <c r="E30" s="111">
        <v>46316</v>
      </c>
      <c r="F30" s="110">
        <f t="shared" ca="1" si="7"/>
        <v>7</v>
      </c>
      <c r="G30" s="106"/>
      <c r="H30" s="105"/>
      <c r="I30" s="120"/>
      <c r="J30" s="120"/>
      <c r="K30" s="120"/>
      <c r="L30" s="120"/>
      <c r="M30" s="33">
        <v>21</v>
      </c>
      <c r="N30" s="106">
        <v>150</v>
      </c>
      <c r="O30" s="112"/>
      <c r="P30" s="112"/>
      <c r="Q30" s="112"/>
      <c r="R30" s="105"/>
      <c r="S30" s="105" t="s">
        <v>169</v>
      </c>
      <c r="T30" s="176"/>
    </row>
    <row r="31" spans="1:20">
      <c r="A31" s="33">
        <f t="shared" si="4"/>
        <v>30</v>
      </c>
      <c r="B31" s="196" t="s">
        <v>206</v>
      </c>
      <c r="C31" s="196" t="s">
        <v>220</v>
      </c>
      <c r="D31" s="8" t="s">
        <v>24</v>
      </c>
      <c r="E31" s="111">
        <v>46321</v>
      </c>
      <c r="F31" s="110">
        <f t="shared" ca="1" si="7"/>
        <v>2</v>
      </c>
      <c r="G31" s="106"/>
      <c r="H31" s="105"/>
      <c r="I31" s="120"/>
      <c r="J31" s="120"/>
      <c r="K31" s="120"/>
      <c r="L31" s="120"/>
      <c r="M31" s="33">
        <v>12</v>
      </c>
      <c r="N31" s="106">
        <v>150</v>
      </c>
      <c r="O31" s="112"/>
      <c r="P31" s="112"/>
      <c r="Q31" s="112"/>
      <c r="R31" s="105"/>
      <c r="S31" s="105" t="s">
        <v>169</v>
      </c>
      <c r="T31" s="176"/>
    </row>
    <row r="32" spans="1:20" ht="29">
      <c r="A32" s="33">
        <f t="shared" si="4"/>
        <v>31</v>
      </c>
      <c r="B32" s="196" t="s">
        <v>207</v>
      </c>
      <c r="C32" s="196" t="s">
        <v>221</v>
      </c>
      <c r="D32" s="8" t="s">
        <v>24</v>
      </c>
      <c r="E32" s="111">
        <v>46322</v>
      </c>
      <c r="F32" s="110">
        <f t="shared" ca="1" si="7"/>
        <v>1</v>
      </c>
      <c r="G32" s="106"/>
      <c r="H32" s="105"/>
      <c r="I32" s="120"/>
      <c r="J32" s="120"/>
      <c r="K32" s="120"/>
      <c r="L32" s="120"/>
      <c r="M32" s="33">
        <v>20</v>
      </c>
      <c r="N32" s="106">
        <v>450</v>
      </c>
      <c r="O32" s="112"/>
      <c r="P32" s="112"/>
      <c r="Q32" s="112"/>
      <c r="R32" s="105"/>
      <c r="S32" s="105" t="s">
        <v>169</v>
      </c>
      <c r="T32" s="176"/>
    </row>
    <row r="33" spans="1:20" ht="28">
      <c r="A33" s="33">
        <f t="shared" si="4"/>
        <v>32</v>
      </c>
      <c r="B33" s="178" t="s">
        <v>224</v>
      </c>
      <c r="C33" s="34" t="s">
        <v>225</v>
      </c>
      <c r="D33" s="8" t="s">
        <v>247</v>
      </c>
      <c r="E33" s="111">
        <v>46322</v>
      </c>
      <c r="F33" s="110">
        <f t="shared" ca="1" si="7"/>
        <v>1</v>
      </c>
      <c r="G33" s="106"/>
      <c r="H33" s="105"/>
      <c r="I33" s="120"/>
      <c r="J33" s="120"/>
      <c r="K33" s="120"/>
      <c r="L33" s="120"/>
      <c r="M33" s="33">
        <v>16</v>
      </c>
      <c r="N33" s="106">
        <v>200</v>
      </c>
      <c r="O33" s="176"/>
      <c r="P33" s="176"/>
      <c r="Q33" s="176"/>
      <c r="R33" s="105"/>
      <c r="S33" s="105" t="s">
        <v>169</v>
      </c>
      <c r="T33" s="176"/>
    </row>
    <row r="34" spans="1:20">
      <c r="A34" s="33">
        <f t="shared" si="4"/>
        <v>33</v>
      </c>
      <c r="B34" s="197" t="s">
        <v>222</v>
      </c>
      <c r="C34" s="197" t="s">
        <v>223</v>
      </c>
      <c r="D34" s="8" t="s">
        <v>24</v>
      </c>
      <c r="E34" s="105"/>
      <c r="F34" s="105"/>
      <c r="G34" s="106"/>
      <c r="H34" s="105"/>
      <c r="I34" s="120"/>
      <c r="J34" s="120"/>
      <c r="K34" s="120"/>
      <c r="L34" s="120"/>
      <c r="M34" s="33"/>
      <c r="N34" s="106"/>
      <c r="O34" s="176"/>
      <c r="P34" s="176"/>
      <c r="Q34" s="176"/>
      <c r="R34" s="105"/>
      <c r="S34" s="105"/>
      <c r="T34" s="176"/>
    </row>
    <row r="35" spans="1:20">
      <c r="A35" s="33">
        <f t="shared" si="4"/>
        <v>34</v>
      </c>
      <c r="B35" s="178" t="s">
        <v>245</v>
      </c>
      <c r="C35" s="34" t="s">
        <v>246</v>
      </c>
      <c r="D35" s="8" t="s">
        <v>24</v>
      </c>
      <c r="E35" s="105"/>
      <c r="F35" s="105"/>
      <c r="G35" s="106"/>
      <c r="H35" s="105"/>
      <c r="I35" s="120"/>
      <c r="J35" s="120"/>
      <c r="K35" s="120"/>
      <c r="L35" s="120"/>
      <c r="M35" s="33"/>
      <c r="N35" s="106"/>
      <c r="O35" s="176"/>
      <c r="P35" s="176"/>
      <c r="Q35" s="176"/>
      <c r="R35" s="105"/>
      <c r="S35" s="105"/>
      <c r="T35" s="194" t="s">
        <v>256</v>
      </c>
    </row>
    <row r="36" spans="1:20">
      <c r="R36" s="177"/>
      <c r="S36" s="17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18"/>
  <sheetViews>
    <sheetView zoomScale="99" workbookViewId="0">
      <pane ySplit="1" topLeftCell="A2" activePane="bottomLeft" state="frozen"/>
      <selection activeCell="D1" sqref="D1"/>
      <selection pane="bottomLeft" activeCell="A2" sqref="A2"/>
    </sheetView>
  </sheetViews>
  <sheetFormatPr defaultRowHeight="14.5"/>
  <cols>
    <col min="1" max="1" width="6.81640625" bestFit="1" customWidth="1"/>
    <col min="2" max="2" width="13.08984375" bestFit="1" customWidth="1"/>
    <col min="3" max="3" width="24.26953125" bestFit="1" customWidth="1"/>
    <col min="4" max="4" width="7.54296875" bestFit="1" customWidth="1"/>
    <col min="5" max="5" width="21.26953125" customWidth="1"/>
    <col min="6" max="6" width="9.81640625" style="59" customWidth="1"/>
    <col min="7" max="7" width="16.26953125" style="59" customWidth="1"/>
    <col min="8" max="8" width="7.54296875" style="59" customWidth="1"/>
    <col min="9" max="9" width="8.1796875" style="59" customWidth="1"/>
    <col min="10" max="10" width="8.453125" style="59" customWidth="1"/>
    <col min="11" max="11" width="8.1796875" style="59" customWidth="1"/>
    <col min="12" max="12" width="8.36328125" style="59" customWidth="1"/>
    <col min="13" max="13" width="8.7265625" style="59" customWidth="1"/>
    <col min="14" max="14" width="7.6328125" style="59" customWidth="1"/>
    <col min="15" max="15" width="7.54296875" style="59" customWidth="1"/>
    <col min="16" max="16" width="19.81640625" hidden="1" customWidth="1"/>
    <col min="17" max="17" width="14.08984375" hidden="1" customWidth="1"/>
    <col min="18" max="18" width="17.54296875" style="59" bestFit="1" customWidth="1"/>
    <col min="19" max="19" width="9" hidden="1" customWidth="1"/>
  </cols>
  <sheetData>
    <row r="1" spans="1:19" s="11" customFormat="1" ht="26">
      <c r="A1" s="20" t="s">
        <v>0</v>
      </c>
      <c r="B1" s="23" t="s">
        <v>1</v>
      </c>
      <c r="C1" s="23" t="s">
        <v>2</v>
      </c>
      <c r="D1" s="23" t="s">
        <v>3</v>
      </c>
      <c r="E1" s="137" t="s">
        <v>4</v>
      </c>
      <c r="F1" s="138" t="s">
        <v>124</v>
      </c>
      <c r="G1" s="138" t="s">
        <v>125</v>
      </c>
      <c r="H1" s="138" t="s">
        <v>48</v>
      </c>
      <c r="I1" s="138" t="s">
        <v>49</v>
      </c>
      <c r="J1" s="138" t="s">
        <v>50</v>
      </c>
      <c r="K1" s="138" t="s">
        <v>51</v>
      </c>
      <c r="L1" s="137" t="s">
        <v>52</v>
      </c>
      <c r="M1" s="138" t="s">
        <v>53</v>
      </c>
      <c r="N1" s="138" t="s">
        <v>199</v>
      </c>
      <c r="O1" s="138" t="s">
        <v>54</v>
      </c>
      <c r="P1" s="23" t="s">
        <v>55</v>
      </c>
      <c r="Q1" s="23" t="s">
        <v>56</v>
      </c>
      <c r="R1" s="24" t="s">
        <v>119</v>
      </c>
      <c r="S1" s="24" t="s">
        <v>57</v>
      </c>
    </row>
    <row r="2" spans="1:19" s="11" customFormat="1" ht="60">
      <c r="A2" s="1">
        <v>1</v>
      </c>
      <c r="B2" s="40" t="s">
        <v>77</v>
      </c>
      <c r="C2" s="40" t="s">
        <v>78</v>
      </c>
      <c r="D2" s="3" t="s">
        <v>45</v>
      </c>
      <c r="E2" s="15">
        <v>46202</v>
      </c>
      <c r="F2" s="16">
        <v>63</v>
      </c>
      <c r="G2" s="16">
        <v>32</v>
      </c>
      <c r="H2" s="16">
        <v>11</v>
      </c>
      <c r="I2" s="16">
        <v>3</v>
      </c>
      <c r="J2" s="16">
        <v>6</v>
      </c>
      <c r="K2" s="16">
        <v>6</v>
      </c>
      <c r="L2" s="16">
        <v>5</v>
      </c>
      <c r="M2" s="16">
        <v>6</v>
      </c>
      <c r="N2" s="16">
        <v>184</v>
      </c>
      <c r="O2" s="16">
        <f>372+13</f>
        <v>385</v>
      </c>
      <c r="P2" s="36" t="s">
        <v>79</v>
      </c>
      <c r="Q2" s="36" t="s">
        <v>59</v>
      </c>
      <c r="R2" s="60">
        <v>46265</v>
      </c>
      <c r="S2" s="64"/>
    </row>
    <row r="3" spans="1:19" ht="60">
      <c r="A3" s="1">
        <v>2</v>
      </c>
      <c r="B3" s="40" t="s">
        <v>80</v>
      </c>
      <c r="C3" s="40" t="s">
        <v>81</v>
      </c>
      <c r="D3" s="3" t="s">
        <v>45</v>
      </c>
      <c r="E3" s="15">
        <v>46209</v>
      </c>
      <c r="F3" s="16">
        <v>62</v>
      </c>
      <c r="G3" s="16">
        <f>DATE(2026,8,1)-DATE(2026,7,8)</f>
        <v>24</v>
      </c>
      <c r="H3" s="16">
        <f>DATE(2026,8,15)-DATE(2026,8,1)</f>
        <v>14</v>
      </c>
      <c r="I3" s="16">
        <f>DATE(2026,8,21)-DATE(2026,8,20)</f>
        <v>1</v>
      </c>
      <c r="J3" s="16">
        <f>DATE(2026,8,24)-DATE(2026,8,21)</f>
        <v>3</v>
      </c>
      <c r="K3" s="16">
        <f>DATE(2026,8,31)-DATE(2026,8,24)</f>
        <v>7</v>
      </c>
      <c r="L3" s="16">
        <f>DATE(2026,9,7)-DATE(2026,8,31)</f>
        <v>7</v>
      </c>
      <c r="M3" s="16">
        <v>44</v>
      </c>
      <c r="N3" s="16">
        <v>569</v>
      </c>
      <c r="O3" s="16">
        <f>572+15</f>
        <v>587</v>
      </c>
      <c r="P3" s="36" t="s">
        <v>82</v>
      </c>
      <c r="Q3" s="36" t="s">
        <v>83</v>
      </c>
      <c r="R3" s="61">
        <v>46272</v>
      </c>
      <c r="S3" s="64"/>
    </row>
    <row r="4" spans="1:19" ht="70">
      <c r="A4" s="1">
        <v>3</v>
      </c>
      <c r="B4" s="40" t="s">
        <v>84</v>
      </c>
      <c r="C4" s="40" t="s">
        <v>85</v>
      </c>
      <c r="D4" s="3" t="s">
        <v>45</v>
      </c>
      <c r="E4" s="15">
        <v>46195</v>
      </c>
      <c r="F4" s="16">
        <v>83</v>
      </c>
      <c r="G4" s="16">
        <f>DATE(2026,7,25)-DATE(2026,6,22)</f>
        <v>33</v>
      </c>
      <c r="H4" s="16">
        <f>DATE(2026,8,7)-DATE(2026,7,25)</f>
        <v>13</v>
      </c>
      <c r="I4" s="16">
        <f>DATE(2026,8,12)-DATE(2026,8,7)</f>
        <v>5</v>
      </c>
      <c r="J4" s="16">
        <f>DATE(2026,8,25)-DATE(2026,8,12)</f>
        <v>13</v>
      </c>
      <c r="K4" s="16">
        <f>DATE(2026,9,4)-DATE(2026,8,25)</f>
        <v>10</v>
      </c>
      <c r="L4" s="16">
        <f>DATE(2026,9,12)-DATE(2026,9,4)</f>
        <v>8</v>
      </c>
      <c r="M4" s="16">
        <v>66</v>
      </c>
      <c r="N4" s="16">
        <v>717</v>
      </c>
      <c r="O4" s="16">
        <v>719</v>
      </c>
      <c r="P4" s="36" t="s">
        <v>86</v>
      </c>
      <c r="Q4" s="36" t="s">
        <v>87</v>
      </c>
      <c r="R4" s="61">
        <v>46277</v>
      </c>
      <c r="S4" s="49"/>
    </row>
    <row r="5" spans="1:19" ht="60">
      <c r="A5" s="1">
        <v>4</v>
      </c>
      <c r="B5" s="40" t="s">
        <v>88</v>
      </c>
      <c r="C5" s="40" t="s">
        <v>89</v>
      </c>
      <c r="D5" s="3" t="s">
        <v>45</v>
      </c>
      <c r="E5" s="15">
        <v>46196</v>
      </c>
      <c r="F5" s="16">
        <v>81</v>
      </c>
      <c r="G5" s="16">
        <f>DATE(2026,7,30)-DATE(2026,6,24)</f>
        <v>36</v>
      </c>
      <c r="H5" s="16">
        <f>DATE(2026,8,11)-DATE(2026,7,30)</f>
        <v>12</v>
      </c>
      <c r="I5" s="16">
        <f>DATE(2026,8,19)-DATE(2026,8,11)</f>
        <v>8</v>
      </c>
      <c r="J5" s="16">
        <f>DATE(2026,8,24)-DATE(2026,8,19)</f>
        <v>5</v>
      </c>
      <c r="K5" s="16">
        <f>DATE(2026,9,4)-DATE(2026,8,24)</f>
        <v>11</v>
      </c>
      <c r="L5" s="16">
        <f>DATE(2026,9,13)-DATE(2026,9,4)</f>
        <v>9</v>
      </c>
      <c r="M5" s="16">
        <v>74</v>
      </c>
      <c r="N5" s="16">
        <v>826</v>
      </c>
      <c r="O5" s="16">
        <f>826+21</f>
        <v>847</v>
      </c>
      <c r="P5" s="36" t="s">
        <v>90</v>
      </c>
      <c r="Q5" s="36" t="s">
        <v>59</v>
      </c>
      <c r="R5" s="61">
        <v>46278</v>
      </c>
      <c r="S5" s="49"/>
    </row>
    <row r="6" spans="1:19" ht="60">
      <c r="A6" s="1">
        <v>5</v>
      </c>
      <c r="B6" s="40" t="s">
        <v>91</v>
      </c>
      <c r="C6" s="40" t="s">
        <v>92</v>
      </c>
      <c r="D6" s="3" t="s">
        <v>45</v>
      </c>
      <c r="E6" s="15">
        <v>46195</v>
      </c>
      <c r="F6" s="16">
        <v>85</v>
      </c>
      <c r="G6" s="16">
        <f>DATE(2026,7,29)-DATE(2026,6,22)</f>
        <v>37</v>
      </c>
      <c r="H6" s="16">
        <f>DATE(2026,8,11)-DATE(2026,7,29)</f>
        <v>13</v>
      </c>
      <c r="I6" s="16">
        <f>DATE(2026,8,14)-DATE(2026,8,11)</f>
        <v>3</v>
      </c>
      <c r="J6" s="16">
        <f>DATE(2026,8,24)-DATE(2026,8,14)</f>
        <v>10</v>
      </c>
      <c r="K6" s="16">
        <f>DATE(2026,9,4)-DATE(2026,8,24)</f>
        <v>11</v>
      </c>
      <c r="L6" s="16">
        <f>DATE(2026,9,15)-DATE(2026,9,4)</f>
        <v>11</v>
      </c>
      <c r="M6" s="16">
        <v>65</v>
      </c>
      <c r="N6" s="16">
        <v>802</v>
      </c>
      <c r="O6" s="16">
        <f>766+19</f>
        <v>785</v>
      </c>
      <c r="P6" s="36" t="s">
        <v>93</v>
      </c>
      <c r="Q6" s="36" t="s">
        <v>59</v>
      </c>
      <c r="R6" s="61">
        <v>46280</v>
      </c>
      <c r="S6" s="49"/>
    </row>
    <row r="7" spans="1:19" s="27" customFormat="1" ht="60">
      <c r="A7" s="28">
        <v>6</v>
      </c>
      <c r="B7" s="40" t="s">
        <v>9</v>
      </c>
      <c r="C7" s="31" t="s">
        <v>10</v>
      </c>
      <c r="D7" s="25" t="s">
        <v>45</v>
      </c>
      <c r="E7" s="15">
        <v>46234</v>
      </c>
      <c r="F7" s="32">
        <v>52</v>
      </c>
      <c r="G7" s="41">
        <f>DATE(2026,8,24)-DATE(2026,7,31)</f>
        <v>24</v>
      </c>
      <c r="H7" s="41">
        <f>DATE(2026,9,5)-DATE(2026,8,24)</f>
        <v>12</v>
      </c>
      <c r="I7" s="41">
        <f>DATE(2026,9,9)-DATE(2026,9,5)</f>
        <v>4</v>
      </c>
      <c r="J7" s="41">
        <f>DATE(2026,9,14)-DATE(2026,9,8)</f>
        <v>6</v>
      </c>
      <c r="K7" s="41">
        <f>DATE(2026,9,17)-DATE(2026,9,14)</f>
        <v>3</v>
      </c>
      <c r="L7" s="41">
        <f>DATE(2026,9,19)-DATE(2026,9,17)</f>
        <v>2</v>
      </c>
      <c r="M7" s="32">
        <v>10</v>
      </c>
      <c r="N7" s="16">
        <v>250</v>
      </c>
      <c r="O7" s="16">
        <f>218+7</f>
        <v>225</v>
      </c>
      <c r="P7" s="36" t="s">
        <v>64</v>
      </c>
      <c r="Q7" s="36" t="s">
        <v>65</v>
      </c>
      <c r="R7" s="61">
        <v>46286</v>
      </c>
      <c r="S7" s="26"/>
    </row>
    <row r="8" spans="1:19" s="27" customFormat="1" ht="69" customHeight="1" thickBot="1">
      <c r="A8" s="28">
        <v>7</v>
      </c>
      <c r="B8" s="30" t="s">
        <v>8</v>
      </c>
      <c r="C8" s="31" t="s">
        <v>123</v>
      </c>
      <c r="D8" s="25" t="s">
        <v>45</v>
      </c>
      <c r="E8" s="15">
        <v>46230</v>
      </c>
      <c r="F8" s="32">
        <v>58</v>
      </c>
      <c r="G8" s="29">
        <f>DATE(2026,8,17)-DATE(2026,7,27)</f>
        <v>21</v>
      </c>
      <c r="H8" s="29">
        <f>DATE(2026,8,25)-DATE(2026,8,17)</f>
        <v>8</v>
      </c>
      <c r="I8" s="29">
        <f>DATE(2026,9,8)-DATE(2026,8,27)</f>
        <v>12</v>
      </c>
      <c r="J8" s="29">
        <f>DATE(2026,9,14)-DATE(2026,9,8)</f>
        <v>6</v>
      </c>
      <c r="K8" s="29">
        <f>DATE(2026,9,23)-DATE(2026,9,14)</f>
        <v>9</v>
      </c>
      <c r="L8" s="29">
        <f>DATE(2026,9,22)-DATE(2026,9,20)</f>
        <v>2</v>
      </c>
      <c r="M8" s="32">
        <v>21</v>
      </c>
      <c r="N8" s="16">
        <v>780</v>
      </c>
      <c r="O8" s="16">
        <f>372+13</f>
        <v>385</v>
      </c>
      <c r="P8" s="36" t="s">
        <v>62</v>
      </c>
      <c r="Q8" s="36" t="s">
        <v>63</v>
      </c>
      <c r="R8" s="61">
        <v>46288</v>
      </c>
      <c r="S8" s="65" t="s">
        <v>95</v>
      </c>
    </row>
    <row r="9" spans="1:19" ht="60">
      <c r="A9" s="28">
        <f t="shared" ref="A9:A17" si="0">ROW()-1</f>
        <v>8</v>
      </c>
      <c r="B9" s="31" t="s">
        <v>12</v>
      </c>
      <c r="C9" s="31" t="s">
        <v>197</v>
      </c>
      <c r="D9" s="31" t="s">
        <v>45</v>
      </c>
      <c r="E9" s="15">
        <v>46244</v>
      </c>
      <c r="F9" s="91">
        <v>47</v>
      </c>
      <c r="G9" s="91">
        <f>DATE(2026,8,31)-DATE(2026,8,12)</f>
        <v>19</v>
      </c>
      <c r="H9" s="91">
        <f>DATE(2026,9,14)-DATE(2026,8,31)</f>
        <v>14</v>
      </c>
      <c r="I9" s="91">
        <f>DATE(2026,9,15)-DATE(2026,9,14)</f>
        <v>1</v>
      </c>
      <c r="J9" s="91">
        <f>DATE(2026,9,22)-DATE(2026,9,16)</f>
        <v>6</v>
      </c>
      <c r="K9" s="91">
        <f>DATE(2026,9,23)-DATE(2026,9,22)</f>
        <v>1</v>
      </c>
      <c r="L9" s="91">
        <f>DATE(2026,9,23)-DATE(2026,9,17)</f>
        <v>6</v>
      </c>
      <c r="M9" s="91">
        <v>64</v>
      </c>
      <c r="N9" s="16">
        <v>700</v>
      </c>
      <c r="O9" s="16">
        <f>696+23</f>
        <v>719</v>
      </c>
      <c r="P9" s="36" t="s">
        <v>68</v>
      </c>
      <c r="Q9" s="37"/>
      <c r="R9" s="62">
        <v>46291</v>
      </c>
      <c r="S9" s="26" t="s">
        <v>67</v>
      </c>
    </row>
    <row r="10" spans="1:19" s="27" customFormat="1" ht="60">
      <c r="A10" s="28">
        <f t="shared" si="0"/>
        <v>9</v>
      </c>
      <c r="B10" s="31" t="s">
        <v>11</v>
      </c>
      <c r="C10" s="31" t="s">
        <v>196</v>
      </c>
      <c r="D10" s="31" t="s">
        <v>45</v>
      </c>
      <c r="E10" s="15">
        <v>46246</v>
      </c>
      <c r="F10" s="91">
        <v>44</v>
      </c>
      <c r="G10" s="91">
        <f>DATE(2026,8,27)-DATE(2026,8,12)</f>
        <v>15</v>
      </c>
      <c r="H10" s="91">
        <f>DATE(2026,9,11)-DATE(2026,8,27)</f>
        <v>15</v>
      </c>
      <c r="I10" s="91">
        <f>DATE(2026,9,16)-DATE(2026,9,14)</f>
        <v>2</v>
      </c>
      <c r="J10" s="91">
        <f>DATE(2026,9,22)-DATE(2026,9,16)</f>
        <v>6</v>
      </c>
      <c r="K10" s="91">
        <f>DATE(2026,9,23)-DATE(2026,9,22)</f>
        <v>1</v>
      </c>
      <c r="L10" s="91">
        <f>DATE(2026,9,25)-DATE(2026,9,23)</f>
        <v>2</v>
      </c>
      <c r="M10" s="91">
        <v>55</v>
      </c>
      <c r="N10" s="16">
        <v>700</v>
      </c>
      <c r="O10" s="16">
        <f>868+21</f>
        <v>889</v>
      </c>
      <c r="P10" s="36" t="s">
        <v>66</v>
      </c>
      <c r="Q10" s="37"/>
      <c r="R10" s="62">
        <v>46290</v>
      </c>
      <c r="S10" s="26" t="s">
        <v>67</v>
      </c>
    </row>
    <row r="11" spans="1:19" s="27" customFormat="1" ht="130.5">
      <c r="A11" s="28">
        <f t="shared" si="0"/>
        <v>10</v>
      </c>
      <c r="B11" s="31" t="s">
        <v>16</v>
      </c>
      <c r="C11" s="31" t="s">
        <v>198</v>
      </c>
      <c r="D11" s="31" t="s">
        <v>45</v>
      </c>
      <c r="E11" s="15">
        <v>46258</v>
      </c>
      <c r="F11" s="91">
        <f>DATE(2026,9,30)-DATE(2026,8,24)</f>
        <v>37</v>
      </c>
      <c r="G11" s="91">
        <f>DATE(2026,9,9)-DATE(2026,8,24)</f>
        <v>16</v>
      </c>
      <c r="H11" s="91">
        <f>DATE(2026,9,14)-DATE(2026,9,9)</f>
        <v>5</v>
      </c>
      <c r="I11" s="91">
        <f>DATE(2026,9,15)-DATE(2026,9,14)</f>
        <v>1</v>
      </c>
      <c r="J11" s="91">
        <f>DATE(2026,9,23)-DATE(2026,9,16)</f>
        <v>7</v>
      </c>
      <c r="K11" s="91">
        <f>DATE(2026,9,23)-DATE(2026,9,23)</f>
        <v>0</v>
      </c>
      <c r="L11" s="91">
        <f>DATE(2026,9,30)-DATE(2026,9,23)</f>
        <v>7</v>
      </c>
      <c r="M11" s="91">
        <v>60</v>
      </c>
      <c r="N11" s="16">
        <v>500</v>
      </c>
      <c r="O11" s="16">
        <f>798+21</f>
        <v>819</v>
      </c>
      <c r="P11" s="36" t="s">
        <v>71</v>
      </c>
      <c r="Q11" s="38"/>
      <c r="R11" s="63">
        <v>46295</v>
      </c>
      <c r="S11" s="26" t="s">
        <v>120</v>
      </c>
    </row>
    <row r="12" spans="1:19" s="27" customFormat="1" ht="116">
      <c r="A12" s="28">
        <f t="shared" si="0"/>
        <v>11</v>
      </c>
      <c r="B12" s="31" t="s">
        <v>15</v>
      </c>
      <c r="C12" s="31" t="s">
        <v>133</v>
      </c>
      <c r="D12" s="31" t="s">
        <v>45</v>
      </c>
      <c r="E12" s="15">
        <v>46252</v>
      </c>
      <c r="F12" s="91">
        <f>DATE(2026,10,3)-DATE(2026,8,18)</f>
        <v>46</v>
      </c>
      <c r="G12" s="91">
        <f>DATE(2026,9,14)-DATE(2026,8,18)</f>
        <v>27</v>
      </c>
      <c r="H12" s="91">
        <f>DATE(2026,9,18)-DATE(2026,9,14)</f>
        <v>4</v>
      </c>
      <c r="I12" s="91">
        <f>DATE(2026,9,22)-DATE(2026,9,18)</f>
        <v>4</v>
      </c>
      <c r="J12" s="91">
        <f>DATE(2026,9,26)-DATE(2026,9,22)</f>
        <v>4</v>
      </c>
      <c r="K12" s="91">
        <f>DATE(2026,9,29)-DATE(2026,9,26)</f>
        <v>3</v>
      </c>
      <c r="L12" s="91">
        <f>DATE(2026,10,1)-DATE(2026,9,29)</f>
        <v>2</v>
      </c>
      <c r="M12" s="91">
        <v>25</v>
      </c>
      <c r="N12" s="16">
        <v>500</v>
      </c>
      <c r="O12" s="16">
        <f>446+19</f>
        <v>465</v>
      </c>
      <c r="P12" s="36" t="s">
        <v>69</v>
      </c>
      <c r="Q12" s="38"/>
      <c r="R12" s="63">
        <v>46298</v>
      </c>
      <c r="S12" s="26" t="s">
        <v>121</v>
      </c>
    </row>
    <row r="13" spans="1:19" s="27" customFormat="1" ht="60">
      <c r="A13" s="28">
        <f t="shared" si="0"/>
        <v>12</v>
      </c>
      <c r="B13" s="31" t="s">
        <v>14</v>
      </c>
      <c r="C13" s="31" t="s">
        <v>132</v>
      </c>
      <c r="D13" s="31" t="s">
        <v>45</v>
      </c>
      <c r="E13" s="15">
        <v>46254</v>
      </c>
      <c r="F13" s="91">
        <f>DATE(2026,10,1)-DATE(2026,8,20)</f>
        <v>42</v>
      </c>
      <c r="G13" s="91">
        <f>DATE(2026,9,14)-DATE(2026,8,20)</f>
        <v>25</v>
      </c>
      <c r="H13" s="91">
        <f>DATE(2026,9,17)-DATE(2026,9,12)</f>
        <v>5</v>
      </c>
      <c r="I13" s="91">
        <f>DATE(2026,9,24)-DATE(2026,9,22)</f>
        <v>2</v>
      </c>
      <c r="J13" s="91">
        <f>DATE(2026,9,24)-DATE(2026,9,24)</f>
        <v>0</v>
      </c>
      <c r="K13" s="91">
        <f>DATE(2026,9,25)-DATE(2026,9,24)</f>
        <v>1</v>
      </c>
      <c r="L13" s="91">
        <v>8</v>
      </c>
      <c r="M13" s="91">
        <v>25</v>
      </c>
      <c r="N13" s="16">
        <v>500</v>
      </c>
      <c r="O13" s="16">
        <f>276+19</f>
        <v>295</v>
      </c>
      <c r="P13" s="36" t="s">
        <v>69</v>
      </c>
      <c r="Q13" s="38"/>
      <c r="R13" s="63">
        <v>46296</v>
      </c>
      <c r="S13" s="26" t="s">
        <v>70</v>
      </c>
    </row>
    <row r="14" spans="1:19" s="27" customFormat="1" ht="60">
      <c r="A14" s="28">
        <f t="shared" si="0"/>
        <v>13</v>
      </c>
      <c r="B14" s="31" t="s">
        <v>13</v>
      </c>
      <c r="C14" s="31" t="s">
        <v>131</v>
      </c>
      <c r="D14" s="31" t="s">
        <v>45</v>
      </c>
      <c r="E14" s="15">
        <v>46259</v>
      </c>
      <c r="F14" s="91">
        <f>DATE(2026,10,1)-DATE(2026,8,25)</f>
        <v>37</v>
      </c>
      <c r="G14" s="91">
        <f>DATE(2026,9,12)-DATE(2026,8,24)</f>
        <v>19</v>
      </c>
      <c r="H14" s="91">
        <f>DATE(2026,9,17)-DATE(2026,9,12)</f>
        <v>5</v>
      </c>
      <c r="I14" s="91">
        <f>DATE(2026,9,17)-DATE(2026,9,17)</f>
        <v>0</v>
      </c>
      <c r="J14" s="91">
        <f>DATE(2026,9,22)-DATE(2026,9,18)</f>
        <v>4</v>
      </c>
      <c r="K14" s="91">
        <f>DATE(2026,9,24)-DATE(2026,9,22)</f>
        <v>2</v>
      </c>
      <c r="L14" s="91">
        <f>DATE(2026,9,30)-DATE(2026,9,25)</f>
        <v>5</v>
      </c>
      <c r="M14" s="91">
        <v>35</v>
      </c>
      <c r="N14" s="16">
        <v>500</v>
      </c>
      <c r="O14" s="16">
        <f>324+19</f>
        <v>343</v>
      </c>
      <c r="P14" s="36" t="s">
        <v>69</v>
      </c>
      <c r="Q14" s="38"/>
      <c r="R14" s="63">
        <v>46296</v>
      </c>
      <c r="S14" s="26" t="s">
        <v>70</v>
      </c>
    </row>
    <row r="15" spans="1:19" s="27" customFormat="1" ht="60">
      <c r="A15" s="28">
        <f t="shared" si="0"/>
        <v>14</v>
      </c>
      <c r="B15" s="31" t="s">
        <v>5</v>
      </c>
      <c r="C15" s="31" t="s">
        <v>6</v>
      </c>
      <c r="D15" s="28" t="s">
        <v>45</v>
      </c>
      <c r="E15" s="168">
        <v>46204</v>
      </c>
      <c r="F15" s="41">
        <f>DATE(2026,10,6)-E15</f>
        <v>97</v>
      </c>
      <c r="G15" s="41">
        <f>DATE(2026,8,3)-DATE(2026,7,1)</f>
        <v>33</v>
      </c>
      <c r="H15" s="41">
        <f>DATE(2026,8,27)-DATE(2026,8,3)</f>
        <v>24</v>
      </c>
      <c r="I15" s="41">
        <f>DATE(2026,9,3)-DATE(2026,8,27)</f>
        <v>7</v>
      </c>
      <c r="J15" s="41">
        <f>DATE(2026,9,10)-DATE(2026,9,3)</f>
        <v>7</v>
      </c>
      <c r="K15" s="41">
        <f>DATE(2026,9,30)-DATE(2026,9,12)</f>
        <v>18</v>
      </c>
      <c r="L15" s="41">
        <f>DATE(2026,10,7)-DATE(2026,9,30)</f>
        <v>7</v>
      </c>
      <c r="M15" s="41">
        <f>DATE(2026,10,6)-DATE(2026,10,4)</f>
        <v>2</v>
      </c>
      <c r="N15" s="16">
        <v>317</v>
      </c>
      <c r="O15" s="16">
        <v>299</v>
      </c>
      <c r="P15" s="36" t="s">
        <v>58</v>
      </c>
      <c r="Q15" s="164" t="s">
        <v>59</v>
      </c>
      <c r="R15" s="166">
        <v>46301</v>
      </c>
    </row>
    <row r="16" spans="1:19" ht="60">
      <c r="A16" s="28">
        <f t="shared" si="0"/>
        <v>15</v>
      </c>
      <c r="B16" s="31" t="s">
        <v>7</v>
      </c>
      <c r="C16" s="31" t="s">
        <v>155</v>
      </c>
      <c r="D16" s="31" t="s">
        <v>45</v>
      </c>
      <c r="E16" s="168">
        <v>46204</v>
      </c>
      <c r="F16" s="41">
        <f>DATE(2026,10,12)-E16</f>
        <v>103</v>
      </c>
      <c r="G16" s="91">
        <v>35</v>
      </c>
      <c r="H16" s="91">
        <v>23</v>
      </c>
      <c r="I16" s="91">
        <v>10</v>
      </c>
      <c r="J16" s="91">
        <v>4</v>
      </c>
      <c r="K16" s="91">
        <v>18</v>
      </c>
      <c r="L16" s="91">
        <v>5</v>
      </c>
      <c r="M16" s="91">
        <v>6</v>
      </c>
      <c r="N16" s="16">
        <v>302</v>
      </c>
      <c r="O16" s="16">
        <v>333</v>
      </c>
      <c r="P16" s="128" t="s">
        <v>60</v>
      </c>
      <c r="Q16" s="164" t="s">
        <v>61</v>
      </c>
      <c r="R16" s="166">
        <v>46307</v>
      </c>
      <c r="S16" s="122"/>
    </row>
    <row r="17" spans="1:19" ht="60">
      <c r="A17" s="28">
        <f t="shared" si="0"/>
        <v>16</v>
      </c>
      <c r="B17" s="31" t="s">
        <v>44</v>
      </c>
      <c r="C17" s="31" t="s">
        <v>20</v>
      </c>
      <c r="D17" s="31" t="s">
        <v>45</v>
      </c>
      <c r="E17" s="168">
        <v>46265</v>
      </c>
      <c r="F17" s="41">
        <f>DATE(2026,10,14)-E17</f>
        <v>44</v>
      </c>
      <c r="G17" s="91">
        <f>DATE(2026,9,24)-DATE(2026,8,24)</f>
        <v>31</v>
      </c>
      <c r="H17" s="91">
        <f>DATE(2026,9,30)-DATE(2026,9,24)</f>
        <v>6</v>
      </c>
      <c r="I17" s="91">
        <f>DATE(2026,10,3)-DATE(2026,10,1)</f>
        <v>2</v>
      </c>
      <c r="J17" s="91">
        <f>DATE(2026,10,7)-DATE(2026,10,4)</f>
        <v>3</v>
      </c>
      <c r="K17" s="91">
        <f>DATE(2026,10,10)-DATE(2026,10,7)</f>
        <v>3</v>
      </c>
      <c r="L17" s="91">
        <f>DATE(2026,10,14)-DATE(2026,10,10)</f>
        <v>4</v>
      </c>
      <c r="M17" s="91">
        <v>25</v>
      </c>
      <c r="N17" s="16">
        <v>500</v>
      </c>
      <c r="O17" s="16">
        <v>385</v>
      </c>
      <c r="P17" s="36" t="s">
        <v>69</v>
      </c>
      <c r="Q17" s="31"/>
      <c r="R17" s="166">
        <v>46309</v>
      </c>
      <c r="S17" s="109"/>
    </row>
    <row r="18" spans="1:19" s="50" customFormat="1" ht="60">
      <c r="A18" s="28">
        <f>ROW()-1</f>
        <v>17</v>
      </c>
      <c r="B18" s="91" t="s">
        <v>21</v>
      </c>
      <c r="C18" s="180" t="s">
        <v>22</v>
      </c>
      <c r="D18" s="181" t="s">
        <v>45</v>
      </c>
      <c r="E18" s="168">
        <v>46269</v>
      </c>
      <c r="F18" s="169">
        <f>DATE(2026,10,26)-E18</f>
        <v>52</v>
      </c>
      <c r="G18" s="28">
        <f>DATE(2026,9,26)-DATE(2026,9,4)</f>
        <v>22</v>
      </c>
      <c r="H18" s="91">
        <f>DATE(2026,10,11)-DATE(2026,9,26)</f>
        <v>15</v>
      </c>
      <c r="I18" s="28">
        <f>DATE(2026,10,16)-DATE(2026,10,12)</f>
        <v>4</v>
      </c>
      <c r="J18" s="91">
        <f>DATE(2026,10,23)-DATE(2026,10,16)</f>
        <v>7</v>
      </c>
      <c r="K18" s="28">
        <f>DATE(2026,10,26)-DATE(2026,10,23)</f>
        <v>3</v>
      </c>
      <c r="L18" s="91">
        <f>DATE(2026,10,27)-DATE(2026,10,26)</f>
        <v>1</v>
      </c>
      <c r="M18" s="28">
        <v>14</v>
      </c>
      <c r="N18" s="91">
        <v>189</v>
      </c>
      <c r="O18" s="28">
        <v>201</v>
      </c>
      <c r="P18" s="36" t="s">
        <v>69</v>
      </c>
      <c r="Q18" s="28"/>
      <c r="R18" s="167">
        <v>46321</v>
      </c>
      <c r="S18" s="16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20"/>
  <sheetViews>
    <sheetView zoomScale="133" workbookViewId="0"/>
  </sheetViews>
  <sheetFormatPr defaultRowHeight="14.5"/>
  <cols>
    <col min="1" max="1" width="23.7265625" customWidth="1"/>
    <col min="2" max="2" width="10.54296875" customWidth="1"/>
    <col min="3" max="3" width="10.453125" customWidth="1"/>
  </cols>
  <sheetData>
    <row r="1" spans="1:11" ht="26.5" thickBot="1">
      <c r="A1" s="96" t="s">
        <v>153</v>
      </c>
      <c r="B1" s="97" t="s">
        <v>141</v>
      </c>
      <c r="C1" s="94" t="s">
        <v>152</v>
      </c>
      <c r="D1" s="92"/>
      <c r="G1" s="84"/>
      <c r="H1" s="84"/>
      <c r="I1" s="84"/>
      <c r="J1" s="84"/>
      <c r="K1" s="85"/>
    </row>
    <row r="2" spans="1:11" ht="32.5" customHeight="1" thickBot="1">
      <c r="A2" s="101" t="s">
        <v>151</v>
      </c>
      <c r="B2" s="102"/>
      <c r="C2" s="103" t="s">
        <v>152</v>
      </c>
      <c r="D2" s="92"/>
      <c r="G2" s="84"/>
      <c r="H2" s="84"/>
      <c r="I2" s="84"/>
      <c r="J2" s="84"/>
      <c r="K2" s="100"/>
    </row>
    <row r="3" spans="1:11" ht="15" thickBot="1">
      <c r="A3" s="93" t="s">
        <v>149</v>
      </c>
      <c r="B3" s="182">
        <f>COUNTA(Table2[MPS ID])</f>
        <v>34</v>
      </c>
      <c r="C3" s="95">
        <f ca="1">AVERAGE(Table2[Current TAT (S50 onward)])</f>
        <v>24.46875</v>
      </c>
      <c r="D3" s="92"/>
      <c r="G3" s="84"/>
      <c r="H3" s="84"/>
      <c r="I3" s="84"/>
      <c r="J3" s="84"/>
    </row>
    <row r="4" spans="1:11" ht="15" thickBot="1">
      <c r="A4" s="98" t="s">
        <v>150</v>
      </c>
      <c r="B4" s="129">
        <f>COUNTA(Delivered!C2:C18)</f>
        <v>17</v>
      </c>
      <c r="C4" s="99">
        <f>AVERAGE(Table3[Total Avg. Aging Days])</f>
        <v>61.3125</v>
      </c>
      <c r="D4" s="84"/>
      <c r="E4" s="84"/>
    </row>
    <row r="5" spans="1:11">
      <c r="A5" s="183"/>
      <c r="B5" s="183"/>
      <c r="C5" s="183"/>
      <c r="D5" s="183"/>
    </row>
    <row r="6" spans="1:11" ht="36">
      <c r="A6" s="186" t="s">
        <v>227</v>
      </c>
      <c r="B6" s="187" t="s">
        <v>19</v>
      </c>
      <c r="C6" s="187" t="s">
        <v>72</v>
      </c>
      <c r="D6" s="187" t="s">
        <v>137</v>
      </c>
      <c r="E6" s="187" t="s">
        <v>182</v>
      </c>
      <c r="F6" s="187" t="s">
        <v>208</v>
      </c>
      <c r="G6" s="187" t="s">
        <v>45</v>
      </c>
      <c r="H6" s="187" t="s">
        <v>232</v>
      </c>
    </row>
    <row r="7" spans="1:11">
      <c r="A7" s="10" t="s">
        <v>229</v>
      </c>
      <c r="B7" s="184">
        <f>Delivered!G2</f>
        <v>32</v>
      </c>
      <c r="C7" s="184">
        <f>Delivered!H2</f>
        <v>11</v>
      </c>
      <c r="D7" s="184">
        <f>Delivered!I2</f>
        <v>3</v>
      </c>
      <c r="E7" s="184">
        <f>Delivered!J2</f>
        <v>6</v>
      </c>
      <c r="F7" s="184">
        <f>Delivered!K2</f>
        <v>6</v>
      </c>
      <c r="G7" s="184">
        <f>Delivered!L2</f>
        <v>5</v>
      </c>
      <c r="H7" s="191">
        <v>63</v>
      </c>
    </row>
    <row r="8" spans="1:11">
      <c r="A8" s="10" t="s">
        <v>228</v>
      </c>
      <c r="B8" s="185">
        <f>AVERAGE(Delivered!G3:G11)</f>
        <v>25</v>
      </c>
      <c r="C8" s="185">
        <f>AVERAGE(Delivered!H3:H11)</f>
        <v>11.777777777777779</v>
      </c>
      <c r="D8" s="185">
        <f>AVERAGE(Delivered!I3:I11)</f>
        <v>4.1111111111111107</v>
      </c>
      <c r="E8" s="185">
        <f>AVERAGE(Delivered!J3:J11)</f>
        <v>6.8888888888888893</v>
      </c>
      <c r="F8" s="185">
        <f>AVERAGE(Delivered!K3:K11)</f>
        <v>5.8888888888888893</v>
      </c>
      <c r="G8" s="185">
        <f>AVERAGE(Delivered!L3:L11)</f>
        <v>6</v>
      </c>
      <c r="H8" s="191">
        <v>61</v>
      </c>
    </row>
    <row r="9" spans="1:11">
      <c r="A9" s="188" t="s">
        <v>230</v>
      </c>
      <c r="B9" s="189">
        <f>AVERAGE(Delivered!G12:G21)</f>
        <v>27.428571428571427</v>
      </c>
      <c r="C9" s="189">
        <f>AVERAGE(Delivered!H12:H21)</f>
        <v>11.714285714285714</v>
      </c>
      <c r="D9" s="189">
        <f>AVERAGE(Delivered!I12:I21)</f>
        <v>4.1428571428571432</v>
      </c>
      <c r="E9" s="189">
        <f>AVERAGE(Delivered!J12:J21)</f>
        <v>4.1428571428571432</v>
      </c>
      <c r="F9" s="189">
        <f>AVERAGE(Delivered!K12:K21)</f>
        <v>6.8571428571428568</v>
      </c>
      <c r="G9" s="189">
        <f>AVERAGE(Delivered!L12:L21)</f>
        <v>4.5714285714285712</v>
      </c>
      <c r="H9" s="191">
        <v>60</v>
      </c>
    </row>
    <row r="10" spans="1:11" ht="29">
      <c r="A10" s="190" t="s">
        <v>231</v>
      </c>
      <c r="B10" s="191">
        <f>AVERAGE(B7:B9)</f>
        <v>28.142857142857142</v>
      </c>
      <c r="C10" s="191">
        <f t="shared" ref="C10:G10" si="0">AVERAGE(C7:C9)</f>
        <v>11.497354497354499</v>
      </c>
      <c r="D10" s="191">
        <f t="shared" si="0"/>
        <v>3.7513227513227512</v>
      </c>
      <c r="E10" s="191">
        <f t="shared" si="0"/>
        <v>5.6772486772486772</v>
      </c>
      <c r="F10" s="191">
        <f t="shared" si="0"/>
        <v>6.2486772486772493</v>
      </c>
      <c r="G10" s="191">
        <f t="shared" si="0"/>
        <v>5.1904761904761907</v>
      </c>
      <c r="H10" s="10"/>
    </row>
    <row r="12" spans="1:11">
      <c r="A12" s="192" t="s">
        <v>233</v>
      </c>
      <c r="B12" s="192">
        <v>37</v>
      </c>
    </row>
    <row r="13" spans="1:11">
      <c r="A13" s="192" t="s">
        <v>234</v>
      </c>
      <c r="B13" s="192">
        <v>103</v>
      </c>
    </row>
    <row r="15" spans="1:11">
      <c r="A15" s="10" t="s">
        <v>19</v>
      </c>
      <c r="B15" s="10" t="s">
        <v>248</v>
      </c>
    </row>
    <row r="16" spans="1:11">
      <c r="A16" s="10" t="s">
        <v>72</v>
      </c>
      <c r="B16" s="10" t="s">
        <v>251</v>
      </c>
    </row>
    <row r="17" spans="1:2">
      <c r="A17" s="10" t="s">
        <v>137</v>
      </c>
      <c r="B17" s="10" t="s">
        <v>249</v>
      </c>
    </row>
    <row r="18" spans="1:2">
      <c r="A18" s="10" t="s">
        <v>182</v>
      </c>
      <c r="B18" s="10">
        <v>2</v>
      </c>
    </row>
    <row r="19" spans="1:2">
      <c r="A19" s="10" t="s">
        <v>250</v>
      </c>
      <c r="B19" s="10">
        <v>2</v>
      </c>
    </row>
    <row r="20" spans="1:2">
      <c r="A20" s="10" t="s">
        <v>45</v>
      </c>
      <c r="B20" s="10">
        <v>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J17"/>
  <sheetViews>
    <sheetView topLeftCell="A2" workbookViewId="0">
      <selection activeCell="C8" sqref="C8"/>
    </sheetView>
  </sheetViews>
  <sheetFormatPr defaultRowHeight="14.5"/>
  <cols>
    <col min="2" max="2" width="17.1796875" bestFit="1" customWidth="1"/>
    <col min="3" max="3" width="20.1796875" customWidth="1"/>
    <col min="5" max="5" width="17.1796875" bestFit="1" customWidth="1"/>
    <col min="6" max="6" width="13" bestFit="1" customWidth="1"/>
    <col min="8" max="8" width="29.26953125" customWidth="1"/>
    <col min="9" max="9" width="14.453125" customWidth="1"/>
  </cols>
  <sheetData>
    <row r="2" spans="2:10">
      <c r="E2" s="79"/>
      <c r="F2" s="79"/>
      <c r="G2" s="79"/>
      <c r="H2" s="79"/>
      <c r="I2" s="79"/>
      <c r="J2" s="79"/>
    </row>
    <row r="3" spans="2:10">
      <c r="B3" s="204" t="s">
        <v>134</v>
      </c>
      <c r="C3" s="204"/>
      <c r="E3" s="79"/>
      <c r="F3" s="80"/>
      <c r="G3" s="79"/>
      <c r="H3" s="79"/>
      <c r="I3" s="79"/>
      <c r="J3" s="79"/>
    </row>
    <row r="4" spans="2:10">
      <c r="B4" s="66" t="s">
        <v>117</v>
      </c>
      <c r="C4" s="66">
        <v>15</v>
      </c>
      <c r="E4" s="79"/>
      <c r="F4" s="80"/>
      <c r="G4" s="79"/>
      <c r="H4" s="79"/>
      <c r="I4" s="79"/>
      <c r="J4" s="79"/>
    </row>
    <row r="5" spans="2:10">
      <c r="B5" s="73" t="s">
        <v>118</v>
      </c>
      <c r="C5" s="74" t="s">
        <v>122</v>
      </c>
      <c r="E5" s="79"/>
      <c r="F5" s="79"/>
      <c r="G5" s="81"/>
      <c r="H5" s="82"/>
      <c r="I5" s="79"/>
      <c r="J5" s="79"/>
    </row>
    <row r="6" spans="2:10">
      <c r="B6" s="75">
        <v>46235</v>
      </c>
      <c r="C6" s="76">
        <f>COUNTIFS(Delivered!$R:$R,"&gt;="&amp;B6,Delivered!$R:$R,"&lt;"&amp;EDATE(B6,1))</f>
        <v>1</v>
      </c>
      <c r="E6" s="79"/>
      <c r="F6" s="79"/>
      <c r="G6" s="83"/>
      <c r="H6" s="82"/>
      <c r="I6" s="79"/>
      <c r="J6" s="79"/>
    </row>
    <row r="7" spans="2:10">
      <c r="B7" s="75">
        <v>46266</v>
      </c>
      <c r="C7" s="76">
        <f>COUNTIFS(Delivered!$R:$R,"&gt;="&amp;B7,Delivered!$R:$R,"&lt;"&amp;EDATE(B7,1))</f>
        <v>9</v>
      </c>
      <c r="E7" s="79"/>
      <c r="F7" s="79"/>
      <c r="G7" s="83"/>
      <c r="H7" s="82"/>
      <c r="I7" s="79"/>
      <c r="J7" s="79"/>
    </row>
    <row r="8" spans="2:10">
      <c r="B8" s="75">
        <v>46296</v>
      </c>
      <c r="C8" s="76">
        <f>COUNTIFS(Delivered!$R:$R,"&gt;="&amp;B8,Delivered!$R:$R,"&lt;"&amp;EDATE(B8,1))</f>
        <v>7</v>
      </c>
      <c r="E8" s="79"/>
      <c r="F8" s="79"/>
      <c r="G8" s="81"/>
      <c r="H8" s="82"/>
      <c r="I8" s="79"/>
      <c r="J8" s="79"/>
    </row>
    <row r="9" spans="2:10">
      <c r="B9" s="75">
        <v>46327</v>
      </c>
      <c r="C9" s="76">
        <f>COUNTIFS(Delivered!$R:$R,"&gt;="&amp;B9,Delivered!$R:$R,"&lt;"&amp;EDATE(B9,1))</f>
        <v>0</v>
      </c>
      <c r="E9" s="79"/>
      <c r="F9" s="79"/>
      <c r="G9" s="79"/>
      <c r="H9" s="79"/>
      <c r="I9" s="79"/>
      <c r="J9" s="79"/>
    </row>
    <row r="10" spans="2:10">
      <c r="B10" s="77">
        <v>46357</v>
      </c>
      <c r="C10" s="78">
        <f>COUNTIFS(Delivered!$R:$R,"&gt;="&amp;B10,Delivered!$R:$R,"&lt;"&amp;EDATE(B10,1))</f>
        <v>0</v>
      </c>
      <c r="E10" s="79"/>
      <c r="F10" s="79"/>
      <c r="G10" s="79"/>
      <c r="H10" s="79"/>
      <c r="I10" s="79"/>
      <c r="J10" s="79"/>
    </row>
    <row r="11" spans="2:10">
      <c r="E11" s="79"/>
      <c r="F11" s="79"/>
      <c r="G11" s="79"/>
      <c r="H11" s="79"/>
      <c r="I11" s="79"/>
      <c r="J11" s="79"/>
    </row>
    <row r="12" spans="2:10">
      <c r="E12" s="79"/>
      <c r="F12" s="79"/>
      <c r="G12" s="79"/>
      <c r="H12" s="79"/>
      <c r="I12" s="79"/>
      <c r="J12" s="79"/>
    </row>
    <row r="13" spans="2:10">
      <c r="E13" s="79"/>
      <c r="F13" s="79"/>
      <c r="G13" s="79"/>
      <c r="H13" s="79"/>
      <c r="I13" s="79"/>
      <c r="J13" s="79"/>
    </row>
    <row r="14" spans="2:10">
      <c r="E14" s="79"/>
      <c r="F14" s="79"/>
      <c r="G14" s="79"/>
      <c r="H14" s="79"/>
      <c r="I14" s="79"/>
      <c r="J14" s="79"/>
    </row>
    <row r="15" spans="2:10">
      <c r="E15" s="79"/>
      <c r="F15" s="79"/>
      <c r="G15" s="79"/>
      <c r="H15" s="79"/>
      <c r="I15" s="79"/>
      <c r="J15" s="79"/>
    </row>
    <row r="16" spans="2:10">
      <c r="E16" s="79"/>
      <c r="F16" s="79"/>
      <c r="G16" s="79"/>
      <c r="H16" s="79"/>
      <c r="I16" s="79"/>
      <c r="J16" s="79"/>
    </row>
    <row r="17" spans="5:10">
      <c r="E17" s="79"/>
      <c r="F17" s="79"/>
      <c r="G17" s="79"/>
      <c r="H17" s="79"/>
      <c r="I17" s="79"/>
      <c r="J17" s="79"/>
    </row>
  </sheetData>
  <mergeCells count="1">
    <mergeCell ref="B3:C3"/>
  </mergeCell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81"/>
  <sheetViews>
    <sheetView topLeftCell="A66" workbookViewId="0">
      <selection activeCell="E79" sqref="E79"/>
    </sheetView>
  </sheetViews>
  <sheetFormatPr defaultRowHeight="14.5" outlineLevelCol="2"/>
  <cols>
    <col min="1" max="1" width="12.54296875" customWidth="1"/>
    <col min="2" max="2" width="13.08984375" bestFit="1" customWidth="1"/>
    <col min="3" max="3" width="27" bestFit="1" customWidth="1" outlineLevel="2"/>
    <col min="4" max="4" width="14.54296875" customWidth="1" outlineLevel="2"/>
    <col min="5" max="5" width="22.7265625" style="59" bestFit="1" customWidth="1" outlineLevel="2"/>
    <col min="6" max="6" width="23.08984375" customWidth="1" outlineLevel="2"/>
    <col min="8" max="8" width="21.36328125" bestFit="1" customWidth="1"/>
  </cols>
  <sheetData>
    <row r="1" spans="1:9" ht="26">
      <c r="A1" s="12" t="s">
        <v>0</v>
      </c>
      <c r="B1" s="12" t="s">
        <v>1</v>
      </c>
      <c r="C1" s="14" t="s">
        <v>41</v>
      </c>
      <c r="D1" s="14" t="s">
        <v>40</v>
      </c>
      <c r="E1" s="13" t="s">
        <v>42</v>
      </c>
      <c r="F1" s="14" t="s">
        <v>43</v>
      </c>
      <c r="G1" s="13" t="s">
        <v>39</v>
      </c>
      <c r="H1" s="13" t="s">
        <v>38</v>
      </c>
      <c r="I1" s="42" t="s">
        <v>57</v>
      </c>
    </row>
    <row r="2" spans="1:9">
      <c r="A2" s="1">
        <v>1</v>
      </c>
      <c r="B2" s="2" t="s">
        <v>5</v>
      </c>
      <c r="C2" s="16">
        <f>DATE(2026,8,27)-DATE(2026,8,3)</f>
        <v>24</v>
      </c>
      <c r="D2" s="16">
        <f>DATE(2026,9,3)-DATE(2026,8,27)</f>
        <v>7</v>
      </c>
      <c r="E2" s="16">
        <f>DATE(2026,9,10)-DATE(2026,9,3)</f>
        <v>7</v>
      </c>
      <c r="F2" s="16"/>
      <c r="G2" s="16" t="e">
        <f ca="1">TODAY()-#REF!</f>
        <v>#REF!</v>
      </c>
      <c r="H2" s="18" t="str">
        <f>IF(SUM(C2:F2)=0, "Not Started", IF(SUM(C2:F2)&lt;=75, "On Track. "&amp;(75-SUM(C2:F2))&amp;" days buffer", "Recover "&amp;(SUM(C2:F2)-75)&amp;" days!"))</f>
        <v>On Track. 37 days buffer</v>
      </c>
    </row>
    <row r="3" spans="1:9">
      <c r="A3" s="1">
        <v>2</v>
      </c>
      <c r="B3" s="2" t="s">
        <v>7</v>
      </c>
      <c r="C3" s="16">
        <f>DATE(2026,8,28)-DATE(2026,8,5)</f>
        <v>23</v>
      </c>
      <c r="D3" s="16">
        <f>DATE(2026,9,8)-DATE(2026,8,29)</f>
        <v>10</v>
      </c>
      <c r="E3" s="16">
        <f>DATE(2026,9,12)-DATE(2026,9,8)</f>
        <v>4</v>
      </c>
      <c r="F3" s="16"/>
      <c r="G3" s="16" t="e">
        <f ca="1">TODAY()-#REF!</f>
        <v>#REF!</v>
      </c>
      <c r="H3" s="18" t="str">
        <f>IF(SUM(C3:F3)=0, "Not Started", IF(SUM(C3:F3)&lt;=75, "On Track. "&amp;(75-SUM(C3:F3))&amp;" days buffer", "Recover "&amp;(SUM(C3:F3)-75)&amp;" days!"))</f>
        <v>On Track. 38 days buffer</v>
      </c>
    </row>
    <row r="4" spans="1:9">
      <c r="A4" s="1">
        <v>3</v>
      </c>
      <c r="B4" s="43" t="s">
        <v>8</v>
      </c>
      <c r="C4" s="16">
        <f>DATE(2026,8,25)-DATE(2026,8,17)</f>
        <v>8</v>
      </c>
      <c r="D4" s="16">
        <f>DATE(2026,9,8)-DATE(2026,8,27)</f>
        <v>12</v>
      </c>
      <c r="E4" s="16">
        <f>DATE(2026,9,14)-DATE(2026,9,8)</f>
        <v>6</v>
      </c>
      <c r="F4" s="4">
        <f>DATE(2026,9,22)-DATE(2026,9,20)</f>
        <v>2</v>
      </c>
      <c r="G4" s="51">
        <f>DATE(2026,9,23)-DATE(2026,7,27)</f>
        <v>58</v>
      </c>
      <c r="H4" s="18" t="str">
        <f>IF(SUM(C4:F4)=0, "Not Started", IF(SUM(C4:F4)&lt;=75, "On Track. "&amp;(75-SUM(C4:F4))&amp;" days buffer", "Recover "&amp;(G4-75)&amp;" days!"))</f>
        <v>On Track. 47 days buffer</v>
      </c>
      <c r="I4" t="s">
        <v>99</v>
      </c>
    </row>
    <row r="5" spans="1:9">
      <c r="A5" s="1">
        <v>4</v>
      </c>
      <c r="B5" s="43" t="s">
        <v>9</v>
      </c>
      <c r="C5" s="44">
        <f>DATE(2026,9,5)-DATE(2026,8,24)</f>
        <v>12</v>
      </c>
      <c r="D5" s="44">
        <f>DATE(2026,9,9)-DATE(2026,9,5)</f>
        <v>4</v>
      </c>
      <c r="E5" s="44">
        <f>DATE(2026,9,14)-DATE(2026,9,8)</f>
        <v>6</v>
      </c>
      <c r="F5" s="44">
        <f>DATE(2026,9,20)-DATE(2026,9,17)</f>
        <v>3</v>
      </c>
      <c r="G5" s="45">
        <f>DATE(2026,9,21)-DATE(2026,7,31)</f>
        <v>52</v>
      </c>
      <c r="H5" s="18" t="str">
        <f t="shared" ref="H5:H21" si="0">IF(SUM(C5:F5)=0, "Not Started", IF(SUM(C5:F5)&lt;=75, "On Track. "&amp;(75-SUM(C5:F5))&amp;" days buffer", "Recover "&amp;(SUM(C5:F5)-75)&amp;" days!"))</f>
        <v>On Track. 50 days buffer</v>
      </c>
      <c r="I5" t="s">
        <v>94</v>
      </c>
    </row>
    <row r="6" spans="1:9">
      <c r="A6" s="5">
        <v>5</v>
      </c>
      <c r="B6" s="6" t="s">
        <v>11</v>
      </c>
      <c r="C6" s="16">
        <f>DATE(2026,9,11)-DATE(2026,8,27)</f>
        <v>15</v>
      </c>
      <c r="D6" s="7">
        <f>DATE(2026,9,15)-DATE(2026,9,14)</f>
        <v>1</v>
      </c>
      <c r="E6" s="44">
        <f>DATE(2026,9,14)-DATE(2026,9,8)</f>
        <v>6</v>
      </c>
      <c r="F6" s="44">
        <f>DATE(2026,9,26)-DATE(2026,9,22)</f>
        <v>4</v>
      </c>
      <c r="G6" s="51">
        <f>DATE(2026,9,25)-DATE(2026,8,12)</f>
        <v>44</v>
      </c>
      <c r="H6" s="18" t="str">
        <f t="shared" si="0"/>
        <v>On Track. 49 days buffer</v>
      </c>
      <c r="I6" t="s">
        <v>108</v>
      </c>
    </row>
    <row r="7" spans="1:9">
      <c r="A7" s="5">
        <v>6</v>
      </c>
      <c r="B7" s="6" t="s">
        <v>12</v>
      </c>
      <c r="C7" s="16">
        <f>DATE(2026,9,14)-DATE(2026,8,31)</f>
        <v>14</v>
      </c>
      <c r="D7" s="7">
        <f>DATE(2026,9,15)-DATE(2026,9,14)</f>
        <v>1</v>
      </c>
      <c r="E7" s="7">
        <f>DATE(2026,9,22)-DATE(2026,9,16)</f>
        <v>6</v>
      </c>
      <c r="F7" s="7">
        <f>DATE(2026,9,22)-DATE(2026,9,16)</f>
        <v>6</v>
      </c>
      <c r="G7" s="51">
        <f>DATE(2026,9,26)-DATE(2026,8,10)</f>
        <v>47</v>
      </c>
      <c r="H7" s="18" t="str">
        <f t="shared" si="0"/>
        <v>On Track. 48 days buffer</v>
      </c>
      <c r="I7" t="s">
        <v>107</v>
      </c>
    </row>
    <row r="8" spans="1:9">
      <c r="A8" s="5">
        <v>7</v>
      </c>
      <c r="B8" s="5" t="s">
        <v>13</v>
      </c>
      <c r="C8" s="16">
        <f>DATE(2026,9,17)-DATE(2026,9,12)</f>
        <v>5</v>
      </c>
      <c r="D8" s="7">
        <f>DATE(2026,9,17)-DATE(2026,9,17)</f>
        <v>0</v>
      </c>
      <c r="E8" s="16">
        <f>DATE(2026,9,22)-DATE(2026,9,18)</f>
        <v>4</v>
      </c>
      <c r="F8" s="5">
        <f ca="1">TODAY()-DATE(2026,9,25)</f>
        <v>33</v>
      </c>
      <c r="G8" s="5" t="e">
        <f ca="1">TODAY()-#REF!</f>
        <v>#REF!</v>
      </c>
      <c r="H8" s="18" t="str">
        <f t="shared" ca="1" si="0"/>
        <v>On Track. 33 days buffer</v>
      </c>
    </row>
    <row r="9" spans="1:9">
      <c r="A9" s="5">
        <v>8</v>
      </c>
      <c r="B9" s="5" t="s">
        <v>14</v>
      </c>
      <c r="C9" s="16" t="str">
        <f>TRIM(DATE(2026,9,17)-DATE(2026,9,12))</f>
        <v>5</v>
      </c>
      <c r="D9" s="16">
        <f ca="1">TODAY()-DATE(2026,9,17)</f>
        <v>41</v>
      </c>
      <c r="E9" s="5"/>
      <c r="F9" s="5"/>
      <c r="G9" s="5" t="e">
        <f ca="1">TODAY()-#REF!</f>
        <v>#REF!</v>
      </c>
      <c r="H9" s="18" t="str">
        <f t="shared" ca="1" si="0"/>
        <v>On Track. 34 days buffer</v>
      </c>
    </row>
    <row r="10" spans="1:9">
      <c r="A10" s="5">
        <v>9</v>
      </c>
      <c r="B10" s="5" t="s">
        <v>15</v>
      </c>
      <c r="C10" s="16" t="str">
        <f>TRIM(DATE(2026,9,17)-DATE(2026,9,12))</f>
        <v>5</v>
      </c>
      <c r="D10" s="16">
        <f ca="1">TODAY()-DATE(2026,9,17)</f>
        <v>41</v>
      </c>
      <c r="E10" s="5"/>
      <c r="F10" s="5"/>
      <c r="G10" s="5" t="e">
        <f ca="1">TODAY()-#REF!</f>
        <v>#REF!</v>
      </c>
      <c r="H10" s="18" t="str">
        <f t="shared" ca="1" si="0"/>
        <v>On Track. 34 days buffer</v>
      </c>
    </row>
    <row r="11" spans="1:9">
      <c r="A11" s="5">
        <v>10</v>
      </c>
      <c r="B11" s="5" t="s">
        <v>16</v>
      </c>
      <c r="C11" s="16" t="str">
        <f>TRIM(DATE(2026,9,14)-DATE(2026,9,9))</f>
        <v>5</v>
      </c>
      <c r="D11" s="7">
        <f>DATE(2026,9,15)-DATE(2026,9,14)</f>
        <v>1</v>
      </c>
      <c r="E11" s="7">
        <f ca="1">TODAY()-DATE(2026,9,16)</f>
        <v>42</v>
      </c>
      <c r="F11" s="5"/>
      <c r="G11" s="5" t="e">
        <f ca="1">TODAY()-#REF!</f>
        <v>#REF!</v>
      </c>
      <c r="H11" s="18" t="str">
        <f t="shared" ca="1" si="0"/>
        <v>On Track. 32 days buffer</v>
      </c>
    </row>
    <row r="12" spans="1:9">
      <c r="A12" s="8">
        <v>11</v>
      </c>
      <c r="B12" s="8" t="s">
        <v>17</v>
      </c>
      <c r="C12" s="16"/>
      <c r="D12" s="8"/>
      <c r="E12" s="8"/>
      <c r="F12" s="8"/>
      <c r="G12" s="8" t="e">
        <f ca="1">TODAY()-#REF!</f>
        <v>#REF!</v>
      </c>
      <c r="H12" s="18" t="str">
        <f t="shared" si="0"/>
        <v>Not Started</v>
      </c>
    </row>
    <row r="13" spans="1:9">
      <c r="A13" s="8">
        <v>12</v>
      </c>
      <c r="B13" s="17" t="s">
        <v>44</v>
      </c>
      <c r="C13" s="16"/>
      <c r="D13" s="8"/>
      <c r="E13" s="8"/>
      <c r="F13" s="8"/>
      <c r="G13" s="8" t="e">
        <f ca="1">TODAY()-#REF!</f>
        <v>#REF!</v>
      </c>
      <c r="H13" s="18" t="str">
        <f t="shared" si="0"/>
        <v>Not Started</v>
      </c>
    </row>
    <row r="14" spans="1:9">
      <c r="A14" s="8">
        <v>13</v>
      </c>
      <c r="B14" s="8" t="s">
        <v>21</v>
      </c>
      <c r="C14" s="16"/>
      <c r="D14" s="8"/>
      <c r="E14" s="8"/>
      <c r="F14" s="8"/>
      <c r="G14" s="8" t="e">
        <f ca="1">TODAY()-#REF!</f>
        <v>#REF!</v>
      </c>
      <c r="H14" s="18" t="str">
        <f t="shared" si="0"/>
        <v>Not Started</v>
      </c>
    </row>
    <row r="15" spans="1:9">
      <c r="A15" s="8">
        <v>14</v>
      </c>
      <c r="B15" s="19" t="s">
        <v>23</v>
      </c>
      <c r="C15" s="16"/>
      <c r="D15" s="10"/>
      <c r="E15" s="18"/>
      <c r="F15" s="10"/>
      <c r="G15" s="8" t="e">
        <f ca="1">TODAY()-#REF!</f>
        <v>#REF!</v>
      </c>
      <c r="H15" s="18" t="str">
        <f t="shared" si="0"/>
        <v>Not Started</v>
      </c>
    </row>
    <row r="16" spans="1:9">
      <c r="A16" s="8">
        <v>15</v>
      </c>
      <c r="B16" s="19" t="s">
        <v>25</v>
      </c>
      <c r="C16" s="16"/>
      <c r="D16" s="10"/>
      <c r="E16" s="18"/>
      <c r="F16" s="10"/>
      <c r="G16" s="8" t="e">
        <f ca="1">TODAY()-#REF!</f>
        <v>#REF!</v>
      </c>
      <c r="H16" s="18" t="str">
        <f t="shared" si="0"/>
        <v>Not Started</v>
      </c>
    </row>
    <row r="17" spans="1:8">
      <c r="A17" s="8">
        <v>16</v>
      </c>
      <c r="B17" s="8" t="s">
        <v>26</v>
      </c>
      <c r="C17" s="16"/>
      <c r="D17" s="10"/>
      <c r="E17" s="18"/>
      <c r="F17" s="10"/>
      <c r="G17" s="8" t="e">
        <f ca="1">TODAY()-#REF!</f>
        <v>#REF!</v>
      </c>
      <c r="H17" s="18" t="str">
        <f t="shared" si="0"/>
        <v>Not Started</v>
      </c>
    </row>
    <row r="18" spans="1:8">
      <c r="A18" s="8">
        <v>17</v>
      </c>
      <c r="B18" s="8" t="s">
        <v>27</v>
      </c>
      <c r="C18" s="16"/>
      <c r="D18" s="10"/>
      <c r="E18" s="18"/>
      <c r="F18" s="10"/>
      <c r="G18" s="8" t="e">
        <f ca="1">TODAY()-#REF!</f>
        <v>#REF!</v>
      </c>
      <c r="H18" s="18" t="str">
        <f t="shared" si="0"/>
        <v>Not Started</v>
      </c>
    </row>
    <row r="19" spans="1:8">
      <c r="A19" s="8">
        <v>18</v>
      </c>
      <c r="B19" s="8" t="s">
        <v>28</v>
      </c>
      <c r="C19" s="16"/>
      <c r="D19" s="10"/>
      <c r="E19" s="18"/>
      <c r="F19" s="10"/>
      <c r="G19" s="8" t="e">
        <f ca="1">TODAY()-#REF!</f>
        <v>#REF!</v>
      </c>
      <c r="H19" s="18" t="str">
        <f t="shared" si="0"/>
        <v>Not Started</v>
      </c>
    </row>
    <row r="20" spans="1:8">
      <c r="A20" s="8">
        <v>19</v>
      </c>
      <c r="B20" s="8" t="s">
        <v>29</v>
      </c>
      <c r="C20" s="16"/>
      <c r="D20" s="10"/>
      <c r="E20" s="18"/>
      <c r="F20" s="10"/>
      <c r="G20" s="8" t="e">
        <f ca="1">TODAY()-#REF!</f>
        <v>#REF!</v>
      </c>
      <c r="H20" s="18" t="str">
        <f t="shared" si="0"/>
        <v>Not Started</v>
      </c>
    </row>
    <row r="21" spans="1:8">
      <c r="A21" s="8">
        <v>20</v>
      </c>
      <c r="B21" s="8" t="s">
        <v>30</v>
      </c>
      <c r="C21" s="16"/>
      <c r="D21" s="10"/>
      <c r="E21" s="18"/>
      <c r="F21" s="10"/>
      <c r="G21" s="8" t="e">
        <f ca="1">TODAY()-#REF!</f>
        <v>#REF!</v>
      </c>
      <c r="H21" s="18" t="str">
        <f t="shared" si="0"/>
        <v>Not Started</v>
      </c>
    </row>
    <row r="22" spans="1:8">
      <c r="A22" s="8">
        <v>21</v>
      </c>
      <c r="B22" s="8" t="s">
        <v>31</v>
      </c>
      <c r="C22" s="16"/>
      <c r="D22" s="10"/>
      <c r="E22" s="18"/>
      <c r="F22" s="10"/>
      <c r="G22" s="8" t="e">
        <f ca="1">TODAY()-#REF!</f>
        <v>#REF!</v>
      </c>
      <c r="H22" s="18"/>
    </row>
    <row r="23" spans="1:8">
      <c r="A23" s="8">
        <v>22</v>
      </c>
      <c r="B23" s="8" t="s">
        <v>32</v>
      </c>
      <c r="C23" s="16"/>
      <c r="D23" s="10"/>
      <c r="E23" s="18"/>
      <c r="F23" s="10"/>
      <c r="G23" s="8" t="e">
        <f ca="1">TODAY()-#REF!</f>
        <v>#REF!</v>
      </c>
      <c r="H23" s="18"/>
    </row>
    <row r="24" spans="1:8">
      <c r="A24" s="8">
        <v>23</v>
      </c>
      <c r="B24" s="8" t="s">
        <v>33</v>
      </c>
      <c r="C24" s="16"/>
      <c r="D24" s="10"/>
      <c r="E24" s="18"/>
      <c r="F24" s="10"/>
      <c r="G24" s="8" t="e">
        <f ca="1">TODAY()-#REF!</f>
        <v>#REF!</v>
      </c>
      <c r="H24" s="18"/>
    </row>
    <row r="25" spans="1:8">
      <c r="A25" s="8">
        <v>24</v>
      </c>
      <c r="B25" s="8" t="s">
        <v>35</v>
      </c>
      <c r="C25" s="16"/>
      <c r="D25" s="10"/>
      <c r="E25" s="18"/>
      <c r="F25" s="10"/>
      <c r="G25" s="8" t="e">
        <f ca="1">TODAY()-#REF!</f>
        <v>#REF!</v>
      </c>
      <c r="H25" s="18"/>
    </row>
    <row r="26" spans="1:8">
      <c r="A26" s="8">
        <v>25</v>
      </c>
      <c r="B26" s="8" t="s">
        <v>37</v>
      </c>
      <c r="C26" s="16"/>
      <c r="D26" s="10"/>
      <c r="E26" s="18"/>
      <c r="F26" s="10"/>
      <c r="G26" s="8"/>
      <c r="H26" s="18"/>
    </row>
    <row r="27" spans="1:8">
      <c r="A27" s="8">
        <v>26</v>
      </c>
      <c r="B27" s="47" t="s">
        <v>97</v>
      </c>
      <c r="C27" s="10"/>
      <c r="D27" s="10"/>
      <c r="E27" s="18"/>
      <c r="F27" s="10"/>
      <c r="G27" s="10"/>
      <c r="H27" s="10"/>
    </row>
    <row r="28" spans="1:8">
      <c r="A28" s="8">
        <v>27</v>
      </c>
      <c r="B28" s="48" t="s">
        <v>98</v>
      </c>
      <c r="C28" s="10"/>
      <c r="D28" s="10"/>
      <c r="E28" s="18"/>
      <c r="F28" s="10"/>
      <c r="G28" s="10"/>
      <c r="H28" s="10"/>
    </row>
    <row r="46" spans="2:6">
      <c r="B46" s="10"/>
      <c r="C46" s="124" t="s">
        <v>165</v>
      </c>
      <c r="D46" s="125">
        <f>COUNTA(D49:D81)</f>
        <v>33</v>
      </c>
      <c r="E46" s="18"/>
    </row>
    <row r="47" spans="2:6" ht="15" thickBot="1">
      <c r="B47" s="10"/>
      <c r="C47" s="126" t="s">
        <v>180</v>
      </c>
      <c r="D47" s="127">
        <v>17</v>
      </c>
      <c r="E47" s="127" t="s">
        <v>181</v>
      </c>
    </row>
    <row r="48" spans="2:6" ht="15" thickBot="1">
      <c r="B48" s="13" t="s">
        <v>185</v>
      </c>
      <c r="C48" s="22" t="s">
        <v>2</v>
      </c>
      <c r="D48" s="21" t="s">
        <v>3</v>
      </c>
      <c r="E48" s="123" t="s">
        <v>46</v>
      </c>
      <c r="F48" s="132" t="s">
        <v>57</v>
      </c>
    </row>
    <row r="49" spans="2:11">
      <c r="B49" s="18">
        <v>1</v>
      </c>
      <c r="C49" s="131" t="s">
        <v>18</v>
      </c>
      <c r="D49" s="130" t="s">
        <v>182</v>
      </c>
      <c r="E49" s="133">
        <v>64</v>
      </c>
      <c r="F49" s="10"/>
    </row>
    <row r="50" spans="2:11">
      <c r="B50" s="18">
        <v>2</v>
      </c>
      <c r="C50" s="119" t="s">
        <v>36</v>
      </c>
      <c r="D50" s="33" t="s">
        <v>208</v>
      </c>
      <c r="E50" s="136">
        <v>40</v>
      </c>
      <c r="F50" s="26"/>
    </row>
    <row r="51" spans="2:11" ht="45.5" customHeight="1">
      <c r="B51" s="18">
        <v>3</v>
      </c>
      <c r="C51" s="34" t="s">
        <v>175</v>
      </c>
      <c r="D51" s="33" t="s">
        <v>137</v>
      </c>
      <c r="E51" s="33">
        <v>39</v>
      </c>
      <c r="F51" s="10"/>
    </row>
    <row r="52" spans="2:11">
      <c r="B52" s="18">
        <v>4</v>
      </c>
      <c r="C52" s="119" t="s">
        <v>177</v>
      </c>
      <c r="D52" s="140" t="s">
        <v>182</v>
      </c>
      <c r="E52" s="135">
        <v>39</v>
      </c>
      <c r="F52" s="10"/>
    </row>
    <row r="53" spans="2:11">
      <c r="B53" s="18">
        <v>5</v>
      </c>
      <c r="C53" s="34" t="s">
        <v>176</v>
      </c>
      <c r="D53" s="33" t="s">
        <v>137</v>
      </c>
      <c r="E53" s="33">
        <v>39</v>
      </c>
      <c r="F53" s="10"/>
    </row>
    <row r="54" spans="2:11" ht="29">
      <c r="B54" s="18">
        <v>6</v>
      </c>
      <c r="C54" s="119" t="s">
        <v>34</v>
      </c>
      <c r="D54" s="33" t="s">
        <v>208</v>
      </c>
      <c r="E54" s="134">
        <v>36</v>
      </c>
      <c r="F54" s="10"/>
      <c r="G54" s="87" t="s">
        <v>112</v>
      </c>
      <c r="H54" s="174" t="s">
        <v>210</v>
      </c>
      <c r="I54" s="174">
        <v>30</v>
      </c>
      <c r="J54" s="174" t="s">
        <v>211</v>
      </c>
      <c r="K54" s="174" t="s">
        <v>212</v>
      </c>
    </row>
    <row r="55" spans="2:11" ht="29">
      <c r="B55" s="18">
        <v>7</v>
      </c>
      <c r="C55" s="34" t="s">
        <v>173</v>
      </c>
      <c r="D55" s="33" t="s">
        <v>137</v>
      </c>
      <c r="E55" s="33">
        <v>34</v>
      </c>
      <c r="F55" s="10"/>
      <c r="G55" s="87" t="s">
        <v>112</v>
      </c>
      <c r="H55" s="174" t="s">
        <v>210</v>
      </c>
      <c r="I55" s="174">
        <v>46</v>
      </c>
      <c r="J55" s="174" t="s">
        <v>211</v>
      </c>
      <c r="K55" s="174" t="s">
        <v>212</v>
      </c>
    </row>
    <row r="56" spans="2:11" ht="29">
      <c r="B56" s="18">
        <v>8</v>
      </c>
      <c r="C56" s="34" t="s">
        <v>174</v>
      </c>
      <c r="D56" s="33" t="s">
        <v>72</v>
      </c>
      <c r="E56" s="33">
        <v>34</v>
      </c>
      <c r="F56" s="10"/>
      <c r="G56" s="87" t="s">
        <v>112</v>
      </c>
      <c r="H56" s="174" t="s">
        <v>213</v>
      </c>
      <c r="I56" s="174">
        <v>58</v>
      </c>
      <c r="J56" s="174" t="s">
        <v>211</v>
      </c>
      <c r="K56" s="174" t="s">
        <v>212</v>
      </c>
    </row>
    <row r="57" spans="2:11">
      <c r="B57" s="18">
        <v>9</v>
      </c>
      <c r="C57" s="57" t="s">
        <v>178</v>
      </c>
      <c r="D57" s="58" t="s">
        <v>137</v>
      </c>
      <c r="E57" s="33">
        <v>33</v>
      </c>
      <c r="F57" s="10"/>
    </row>
    <row r="58" spans="2:11">
      <c r="B58" s="18">
        <v>10</v>
      </c>
      <c r="C58" s="57" t="s">
        <v>171</v>
      </c>
      <c r="D58" s="58" t="s">
        <v>137</v>
      </c>
      <c r="E58" s="33">
        <v>31</v>
      </c>
      <c r="F58" s="10"/>
    </row>
    <row r="59" spans="2:11">
      <c r="B59" s="18">
        <v>11</v>
      </c>
      <c r="C59" s="34" t="s">
        <v>172</v>
      </c>
      <c r="D59" s="58" t="s">
        <v>72</v>
      </c>
      <c r="E59" s="136">
        <v>31</v>
      </c>
      <c r="F59" s="10"/>
    </row>
    <row r="60" spans="2:11">
      <c r="B60" s="18">
        <v>12</v>
      </c>
      <c r="C60" s="34" t="s">
        <v>102</v>
      </c>
      <c r="D60" s="33" t="s">
        <v>72</v>
      </c>
      <c r="E60" s="136">
        <v>31</v>
      </c>
      <c r="F60" s="10"/>
    </row>
    <row r="61" spans="2:11">
      <c r="B61" s="18">
        <v>13</v>
      </c>
      <c r="C61" s="34" t="s">
        <v>96</v>
      </c>
      <c r="D61" s="33" t="s">
        <v>72</v>
      </c>
      <c r="E61" s="8">
        <v>30</v>
      </c>
      <c r="F61" s="10"/>
    </row>
    <row r="62" spans="2:11">
      <c r="B62" s="18">
        <v>14</v>
      </c>
      <c r="C62" s="34" t="s">
        <v>113</v>
      </c>
      <c r="D62" s="33" t="s">
        <v>72</v>
      </c>
      <c r="E62" s="33">
        <v>29</v>
      </c>
      <c r="F62" s="10"/>
    </row>
    <row r="63" spans="2:11" ht="28.5">
      <c r="B63" s="18">
        <v>15</v>
      </c>
      <c r="C63" s="160" t="s">
        <v>114</v>
      </c>
      <c r="D63" s="161" t="s">
        <v>19</v>
      </c>
      <c r="E63" s="136">
        <v>28</v>
      </c>
      <c r="F63" s="10"/>
    </row>
    <row r="64" spans="2:11">
      <c r="B64" s="18">
        <v>16</v>
      </c>
      <c r="C64" s="34" t="s">
        <v>179</v>
      </c>
      <c r="D64" s="8" t="s">
        <v>19</v>
      </c>
      <c r="E64" s="33">
        <v>27</v>
      </c>
      <c r="F64" s="10"/>
    </row>
    <row r="65" spans="2:6">
      <c r="B65" s="18">
        <v>17</v>
      </c>
      <c r="C65" s="160" t="s">
        <v>106</v>
      </c>
      <c r="D65" s="163" t="s">
        <v>19</v>
      </c>
      <c r="E65" s="136">
        <v>27</v>
      </c>
      <c r="F65" s="10"/>
    </row>
    <row r="66" spans="2:6">
      <c r="B66" s="18">
        <v>18</v>
      </c>
      <c r="C66" s="160" t="s">
        <v>115</v>
      </c>
      <c r="D66" s="163" t="s">
        <v>19</v>
      </c>
      <c r="E66" s="136">
        <v>27</v>
      </c>
      <c r="F66" s="10"/>
    </row>
    <row r="67" spans="2:6">
      <c r="B67" s="18">
        <v>19</v>
      </c>
      <c r="C67" s="162" t="s">
        <v>157</v>
      </c>
      <c r="D67" s="163" t="s">
        <v>19</v>
      </c>
      <c r="E67" s="8">
        <v>20</v>
      </c>
      <c r="F67" s="10"/>
    </row>
    <row r="68" spans="2:6">
      <c r="B68" s="18">
        <v>20</v>
      </c>
      <c r="C68" s="34" t="s">
        <v>110</v>
      </c>
      <c r="D68" s="8" t="s">
        <v>19</v>
      </c>
      <c r="E68" s="18">
        <v>20</v>
      </c>
      <c r="F68" s="10"/>
    </row>
    <row r="69" spans="2:6">
      <c r="B69" s="18">
        <v>21</v>
      </c>
      <c r="C69" s="34" t="s">
        <v>136</v>
      </c>
      <c r="D69" s="8" t="s">
        <v>204</v>
      </c>
      <c r="E69" s="136">
        <v>15</v>
      </c>
      <c r="F69" s="10"/>
    </row>
    <row r="70" spans="2:6">
      <c r="B70" s="18">
        <v>22</v>
      </c>
      <c r="C70" s="34" t="s">
        <v>127</v>
      </c>
      <c r="D70" s="8" t="s">
        <v>19</v>
      </c>
      <c r="E70" s="18">
        <v>15</v>
      </c>
      <c r="F70" s="10" t="s">
        <v>189</v>
      </c>
    </row>
    <row r="71" spans="2:6">
      <c r="B71" s="18">
        <v>23</v>
      </c>
      <c r="C71" s="34" t="s">
        <v>130</v>
      </c>
      <c r="D71" s="8" t="s">
        <v>19</v>
      </c>
      <c r="E71" s="18">
        <v>13</v>
      </c>
      <c r="F71" s="10"/>
    </row>
    <row r="72" spans="2:6">
      <c r="B72" s="18">
        <v>24</v>
      </c>
      <c r="C72" s="160" t="s">
        <v>140</v>
      </c>
      <c r="D72" s="163" t="s">
        <v>19</v>
      </c>
      <c r="E72" s="18">
        <v>10</v>
      </c>
      <c r="F72" s="10"/>
    </row>
    <row r="73" spans="2:6" ht="28">
      <c r="B73" s="18">
        <v>25</v>
      </c>
      <c r="C73" s="34" t="s">
        <v>191</v>
      </c>
      <c r="D73" s="8" t="s">
        <v>158</v>
      </c>
      <c r="E73" s="18">
        <v>10</v>
      </c>
      <c r="F73" s="10"/>
    </row>
    <row r="74" spans="2:6" ht="28">
      <c r="B74" s="18">
        <v>26</v>
      </c>
      <c r="C74" s="34" t="s">
        <v>192</v>
      </c>
      <c r="D74" s="8" t="s">
        <v>19</v>
      </c>
      <c r="E74" s="18">
        <v>10</v>
      </c>
      <c r="F74" s="10"/>
    </row>
    <row r="75" spans="2:6">
      <c r="B75" s="18">
        <v>27</v>
      </c>
      <c r="C75" s="34" t="s">
        <v>160</v>
      </c>
      <c r="D75" s="8" t="s">
        <v>158</v>
      </c>
      <c r="E75" s="18">
        <v>6</v>
      </c>
      <c r="F75" s="10"/>
    </row>
    <row r="76" spans="2:6">
      <c r="B76" s="18">
        <v>28</v>
      </c>
      <c r="C76" s="34" t="s">
        <v>162</v>
      </c>
      <c r="D76" s="8" t="s">
        <v>19</v>
      </c>
      <c r="E76" s="18">
        <v>6</v>
      </c>
      <c r="F76" s="10"/>
    </row>
    <row r="77" spans="2:6">
      <c r="B77" s="18">
        <v>29</v>
      </c>
      <c r="C77" s="34" t="s">
        <v>194</v>
      </c>
      <c r="D77" s="8" t="s">
        <v>24</v>
      </c>
      <c r="E77" s="18">
        <v>6</v>
      </c>
      <c r="F77" s="10"/>
    </row>
    <row r="78" spans="2:6">
      <c r="B78" s="18">
        <v>30</v>
      </c>
      <c r="C78" s="175" t="s">
        <v>220</v>
      </c>
      <c r="D78" s="8" t="s">
        <v>24</v>
      </c>
      <c r="E78" s="18">
        <v>1</v>
      </c>
      <c r="F78" s="10"/>
    </row>
    <row r="79" spans="2:6" ht="29">
      <c r="B79" s="18">
        <v>31</v>
      </c>
      <c r="C79" s="175" t="s">
        <v>221</v>
      </c>
      <c r="D79" s="8" t="s">
        <v>24</v>
      </c>
      <c r="E79" s="18">
        <v>0</v>
      </c>
      <c r="F79" s="10"/>
    </row>
    <row r="80" spans="2:6">
      <c r="B80" s="18">
        <v>32</v>
      </c>
      <c r="C80" s="175" t="s">
        <v>225</v>
      </c>
      <c r="D80" s="8" t="s">
        <v>24</v>
      </c>
      <c r="E80" s="18">
        <v>0</v>
      </c>
      <c r="F80" s="10"/>
    </row>
    <row r="81" spans="2:6">
      <c r="B81" s="18">
        <v>33</v>
      </c>
      <c r="C81" s="175" t="s">
        <v>223</v>
      </c>
      <c r="D81" s="8" t="s">
        <v>24</v>
      </c>
      <c r="E81" s="18">
        <v>0</v>
      </c>
      <c r="F81" s="10"/>
    </row>
  </sheetData>
  <sortState ref="C49:E81">
    <sortCondition descending="1" ref="E49:E81"/>
  </sortState>
  <conditionalFormatting sqref="C2:C3 C5:C26">
    <cfRule type="colorScale" priority="34">
      <colorScale>
        <cfvo type="num" val="10"/>
        <cfvo type="num" val="30"/>
        <color rgb="FFFF0000"/>
        <color rgb="FFFF0000"/>
      </colorScale>
    </cfRule>
  </conditionalFormatting>
  <conditionalFormatting sqref="C3 C5:C26">
    <cfRule type="cellIs" dxfId="20" priority="33" operator="between">
      <formula>0</formula>
      <formula>10</formula>
    </cfRule>
  </conditionalFormatting>
  <conditionalFormatting sqref="D2:D8 D11:D26">
    <cfRule type="cellIs" dxfId="19" priority="29" operator="greaterThan">
      <formula>7</formula>
    </cfRule>
    <cfRule type="cellIs" dxfId="18" priority="30" operator="lessThan">
      <formula>7</formula>
    </cfRule>
  </conditionalFormatting>
  <conditionalFormatting sqref="E2:E26">
    <cfRule type="cellIs" dxfId="17" priority="27" operator="greaterThan">
      <formula>7</formula>
    </cfRule>
    <cfRule type="cellIs" dxfId="16" priority="28" operator="lessThan">
      <formula>7</formula>
    </cfRule>
  </conditionalFormatting>
  <conditionalFormatting sqref="F2:F4 F8:F26">
    <cfRule type="cellIs" dxfId="15" priority="25" operator="greaterThan">
      <formula>7</formula>
    </cfRule>
    <cfRule type="cellIs" dxfId="14" priority="26" operator="equal">
      <formula>7</formula>
    </cfRule>
  </conditionalFormatting>
  <conditionalFormatting sqref="G2:G26">
    <cfRule type="cellIs" dxfId="13" priority="23" operator="greaterThan">
      <formula>75</formula>
    </cfRule>
    <cfRule type="cellIs" dxfId="12" priority="24" operator="lessThan">
      <formula>75</formula>
    </cfRule>
  </conditionalFormatting>
  <conditionalFormatting sqref="F5">
    <cfRule type="cellIs" dxfId="11" priority="21" operator="greaterThan">
      <formula>7</formula>
    </cfRule>
    <cfRule type="cellIs" dxfId="10" priority="22" operator="lessThan">
      <formula>7</formula>
    </cfRule>
  </conditionalFormatting>
  <conditionalFormatting sqref="D9">
    <cfRule type="cellIs" dxfId="9" priority="19" operator="greaterThan">
      <formula>7</formula>
    </cfRule>
    <cfRule type="cellIs" dxfId="8" priority="20" operator="lessThan">
      <formula>7</formula>
    </cfRule>
  </conditionalFormatting>
  <conditionalFormatting sqref="D10">
    <cfRule type="cellIs" dxfId="7" priority="17" operator="greaterThan">
      <formula>7</formula>
    </cfRule>
    <cfRule type="cellIs" dxfId="6" priority="18" operator="lessThan">
      <formula>7</formula>
    </cfRule>
  </conditionalFormatting>
  <conditionalFormatting sqref="F6">
    <cfRule type="cellIs" dxfId="5" priority="5" operator="greaterThan">
      <formula>7</formula>
    </cfRule>
    <cfRule type="cellIs" dxfId="4" priority="6" operator="lessThan">
      <formula>7</formula>
    </cfRule>
  </conditionalFormatting>
  <conditionalFormatting sqref="C4">
    <cfRule type="cellIs" dxfId="3" priority="3" operator="between">
      <formula>0</formula>
      <formula>25</formula>
    </cfRule>
    <cfRule type="cellIs" dxfId="2" priority="4" operator="greaterThan">
      <formula>25</formula>
    </cfRule>
  </conditionalFormatting>
  <conditionalFormatting sqref="F7">
    <cfRule type="cellIs" dxfId="1" priority="1" operator="greaterThan">
      <formula>7</formula>
    </cfRule>
    <cfRule type="cellIs" dxfId="0" priority="2" operator="lessThan">
      <formula>7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Current Status</vt:lpstr>
      <vt:lpstr>Delivered</vt:lpstr>
      <vt:lpstr>Summary</vt:lpstr>
      <vt:lpstr>Month Wise Delivery Status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Mathur</dc:creator>
  <cp:lastModifiedBy>Pawan Mathur</cp:lastModifiedBy>
  <dcterms:created xsi:type="dcterms:W3CDTF">2015-06-05T18:17:20Z</dcterms:created>
  <dcterms:modified xsi:type="dcterms:W3CDTF">2026-10-28T12:10:47Z</dcterms:modified>
</cp:coreProperties>
</file>