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2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Status'!$A$1:$S$23</definedName>
    <definedName name="_xlnm._FilterDatabase" localSheetId="5" hidden="1">MISC!$D$19:$E$45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3" l="1"/>
  <c r="F2" i="2"/>
  <c r="G2" i="2"/>
  <c r="H2" i="2"/>
  <c r="I2" i="2"/>
  <c r="J2" i="2"/>
  <c r="K2" i="2"/>
  <c r="L2" i="2"/>
  <c r="A19" i="4"/>
  <c r="L19" i="4"/>
  <c r="K19" i="4"/>
  <c r="J19" i="4"/>
  <c r="I19" i="4"/>
  <c r="H19" i="4"/>
  <c r="G19" i="4"/>
  <c r="F19" i="4"/>
  <c r="K2" i="3"/>
  <c r="M26" i="3"/>
  <c r="G25" i="3"/>
  <c r="G20" i="3"/>
  <c r="G31" i="3"/>
  <c r="F33" i="3"/>
  <c r="F34" i="3" l="1"/>
  <c r="G26" i="3" l="1"/>
  <c r="H15" i="3"/>
  <c r="I12" i="3"/>
  <c r="H12" i="3"/>
  <c r="G10" i="3"/>
  <c r="I11" i="3"/>
  <c r="H11" i="3"/>
  <c r="I6" i="3"/>
  <c r="J3" i="3"/>
  <c r="I3" i="3"/>
  <c r="J4" i="3" l="1"/>
  <c r="G15" i="3" l="1"/>
  <c r="I7" i="3"/>
  <c r="I4" i="3"/>
  <c r="A33" i="3" l="1"/>
  <c r="A34" i="3"/>
  <c r="G12" i="3"/>
  <c r="F32" i="3"/>
  <c r="F31" i="3"/>
  <c r="F30" i="3"/>
  <c r="I16" i="3" l="1"/>
  <c r="H16" i="3"/>
  <c r="G11" i="3" l="1"/>
  <c r="J9" i="3"/>
  <c r="I9" i="3"/>
  <c r="H7" i="3"/>
  <c r="G6" i="3"/>
  <c r="H6" i="3"/>
  <c r="H4" i="3"/>
  <c r="J11" i="4" l="1"/>
  <c r="D7" i="7" l="1"/>
  <c r="F9" i="7"/>
  <c r="G9" i="7"/>
  <c r="E9" i="7"/>
  <c r="D9" i="7"/>
  <c r="C9" i="7"/>
  <c r="C10" i="7" s="1"/>
  <c r="B9" i="7"/>
  <c r="B10" i="7" s="1"/>
  <c r="G8" i="7"/>
  <c r="G7" i="7"/>
  <c r="F7" i="7"/>
  <c r="F8" i="7"/>
  <c r="D8" i="7"/>
  <c r="C8" i="7"/>
  <c r="B8" i="7"/>
  <c r="E7" i="7"/>
  <c r="C7" i="7"/>
  <c r="B7" i="7"/>
  <c r="B4" i="7"/>
  <c r="J5" i="3"/>
  <c r="J8" i="3"/>
  <c r="G10" i="7" l="1"/>
  <c r="F10" i="7"/>
  <c r="D10" i="7"/>
  <c r="D17" i="2"/>
  <c r="A32" i="3"/>
  <c r="F18" i="4"/>
  <c r="L18" i="4"/>
  <c r="J18" i="4"/>
  <c r="K18" i="4"/>
  <c r="I5" i="3" l="1"/>
  <c r="A18" i="4"/>
  <c r="G18" i="4"/>
  <c r="H18" i="4"/>
  <c r="I18" i="4"/>
  <c r="K13" i="3" l="1"/>
  <c r="J13" i="3"/>
  <c r="J2" i="3"/>
  <c r="I2" i="3"/>
  <c r="H2" i="3"/>
  <c r="A19" i="3" l="1"/>
  <c r="A20" i="3"/>
  <c r="A21" i="3"/>
  <c r="A22" i="3"/>
  <c r="A23" i="3"/>
  <c r="A24" i="3"/>
  <c r="A25" i="3"/>
  <c r="A26" i="3"/>
  <c r="A27" i="3"/>
  <c r="A28" i="3"/>
  <c r="A29" i="3"/>
  <c r="A30" i="3"/>
  <c r="A31" i="3"/>
  <c r="M17" i="3" l="1"/>
  <c r="F29" i="3" l="1"/>
  <c r="G27" i="3" l="1"/>
  <c r="G21" i="3"/>
  <c r="G16" i="3" l="1"/>
  <c r="I10" i="3"/>
  <c r="H10" i="3"/>
  <c r="H9" i="3"/>
  <c r="H5" i="3"/>
  <c r="H3" i="3"/>
  <c r="I13" i="3" l="1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8" i="3" l="1"/>
  <c r="G24" i="3"/>
  <c r="G23" i="3"/>
  <c r="G17" i="3" l="1"/>
  <c r="I8" i="3"/>
  <c r="G2" i="3" l="1"/>
  <c r="G5" i="3" l="1"/>
  <c r="G4" i="3"/>
  <c r="G3" i="3"/>
  <c r="G22" i="3" l="1"/>
  <c r="H8" i="3" l="1"/>
  <c r="F28" i="3" l="1"/>
  <c r="F3" i="3" l="1"/>
  <c r="F27" i="3"/>
  <c r="F26" i="3"/>
  <c r="F24" i="3"/>
  <c r="G14" i="3" l="1"/>
  <c r="A15" i="4"/>
  <c r="A16" i="4"/>
  <c r="A17" i="4"/>
  <c r="F17" i="4"/>
  <c r="L17" i="4"/>
  <c r="K17" i="4"/>
  <c r="J17" i="4"/>
  <c r="I17" i="4"/>
  <c r="H17" i="4"/>
  <c r="G17" i="4"/>
  <c r="A18" i="3" l="1"/>
  <c r="A17" i="3"/>
  <c r="A16" i="3"/>
  <c r="A15" i="3"/>
  <c r="A14" i="3"/>
  <c r="A13" i="3"/>
  <c r="A12" i="3"/>
  <c r="F25" i="3" l="1"/>
  <c r="G19" i="3" l="1"/>
  <c r="F16" i="4" l="1"/>
  <c r="G18" i="3" l="1"/>
  <c r="B3" i="7" l="1"/>
  <c r="F23" i="3" l="1"/>
  <c r="G9" i="3" l="1"/>
  <c r="G7" i="3" l="1"/>
  <c r="G8" i="3" l="1"/>
  <c r="L15" i="4" l="1"/>
  <c r="K15" i="4"/>
  <c r="G13" i="3"/>
  <c r="F20" i="3" l="1"/>
  <c r="M15" i="4" l="1"/>
  <c r="K12" i="4"/>
  <c r="J12" i="4"/>
  <c r="I12" i="4"/>
  <c r="H12" i="4"/>
  <c r="L12" i="4"/>
  <c r="L6" i="4"/>
  <c r="L4" i="4"/>
  <c r="L5" i="4"/>
  <c r="F21" i="3"/>
  <c r="F15" i="4"/>
  <c r="G15" i="4"/>
  <c r="H15" i="4"/>
  <c r="I15" i="4"/>
  <c r="J15" i="4"/>
  <c r="C6" i="6" l="1"/>
  <c r="C7" i="6"/>
  <c r="C8" i="6"/>
  <c r="C9" i="6"/>
  <c r="C10" i="6"/>
  <c r="F13" i="3" l="1"/>
  <c r="F14" i="4" l="1"/>
  <c r="F12" i="4"/>
  <c r="F13" i="4"/>
  <c r="F22" i="3" l="1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E8" i="7"/>
  <c r="K11" i="4"/>
  <c r="E10" i="7" l="1"/>
  <c r="F19" i="3"/>
  <c r="F18" i="3" l="1"/>
  <c r="F14" i="3"/>
  <c r="L9" i="4" l="1"/>
  <c r="K9" i="4"/>
  <c r="J9" i="4"/>
  <c r="K8" i="4"/>
  <c r="L8" i="4"/>
  <c r="F17" i="3" l="1"/>
  <c r="F16" i="3"/>
  <c r="A10" i="4" l="1"/>
  <c r="G10" i="4"/>
  <c r="H10" i="4"/>
  <c r="A9" i="4"/>
  <c r="G9" i="4"/>
  <c r="H9" i="4"/>
  <c r="I9" i="4"/>
  <c r="F15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<sst xmlns="http://schemas.openxmlformats.org/spreadsheetml/2006/main" count="480" uniqueCount="251">
  <si>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</si>
  <si>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</si>
  <si>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</si>
  <si>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</si>
  <si>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</si>
  <si>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</si>
  <si>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</si>
  <si>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</si>
  <si>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</si>
  <si>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</si>
  <si>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</si>
  <si>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</si>
  <si>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</si>
  <si>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</si>
  <si>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</si>
  <si>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</si>
  <si>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</si>
  <si>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</si>
  <si>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</si>
  <si>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</si>
  <si>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</si>
  <si>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</si>
  <si>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</si>
  <si>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</si>
  <si>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</si>
  <si>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</si>
  <si>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</si>
  <si>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</si>
  <si>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</si>
  <si>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</si>
  <si>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</si>
  <si>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</si>
  <si>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</si>
  <si>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</si>
  <si>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</si>
  <si>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</si>
  <si>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</si>
  <si>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</si>
  <si>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</si>
  <si>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</si>
  <si>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</si>
  <si>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</si>
  <si>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</si>
  <si>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</si>
  <si>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</si>
  <si>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</si>
  <si>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</si>
  <si>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</si>
  <si>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</si>
  <si>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</si>
  <si>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</si>
  <si>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</si>
  <si>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</si>
  <si>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S200 - Delivered on 05th Aug
Login : 00 Chapters;
PE : 00 Chapters;
CE : 00 Chapters;
Comp : 00 Chapters;
Online Delivery : 00 Chapters</t>
  </si>
  <si>
    <t>S200 - Delivered on 17th Aug
Login : 00 Chapters;
PE : 00 Chapters;
CE : 00 Chapters;
Comp : 00 Chapters;
Online Delivery : 00 Chapters</t>
  </si>
  <si>
    <t>S200 - Delivered on 24th Aug
Login : 00 Chapters;
PE : 00 Chapters;
CE : 00 Chapters;
Comp : 00 Chapters;
Online Delivery : 00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</si>
  <si>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</si>
  <si>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</si>
  <si>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</si>
  <si>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</si>
  <si>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</si>
  <si>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</si>
  <si>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</si>
  <si>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</si>
  <si>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</si>
  <si>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</si>
  <si>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</si>
  <si>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</si>
  <si>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</si>
  <si>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</si>
  <si>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</si>
  <si>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</si>
  <si>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</si>
  <si>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>701319_1_En</t>
  </si>
  <si>
    <t>Wang-AIS-Vol1-8770451</t>
  </si>
  <si>
    <t>S200 - Delivered on 25th July
Login : 00 Chapters;
PE : 00 Chapters;
CE : 00 Chapters;  
Comp : 00 Chapters; 
Online Delivery 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</si>
  <si>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</si>
  <si>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</si>
  <si>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</si>
  <si>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</si>
  <si>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</si>
  <si>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</si>
  <si>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Moved to accessibility on 21st</t>
  </si>
  <si>
    <t>Trapani, Ferdinando</t>
  </si>
  <si>
    <t>709492_1_En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</si>
  <si>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</si>
  <si>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</si>
  <si>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</si>
  <si>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</si>
  <si>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</si>
  <si>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</si>
  <si>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</si>
  <si>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</si>
  <si>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</si>
  <si>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</si>
  <si>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</si>
  <si>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</si>
  <si>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</si>
  <si>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</si>
  <si>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</si>
  <si>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</si>
  <si>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</si>
  <si>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</si>
  <si>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</si>
  <si>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</si>
  <si>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</si>
  <si>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</si>
  <si>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</si>
  <si>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</si>
  <si>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</si>
  <si>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</si>
  <si>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</si>
  <si>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</si>
  <si>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</si>
  <si>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</si>
  <si>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</si>
  <si>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</si>
  <si>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</si>
  <si>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</si>
  <si>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</si>
  <si>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</si>
  <si>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</si>
  <si>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</si>
  <si>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</si>
  <si>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</si>
  <si>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</si>
  <si>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</si>
  <si>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</si>
  <si>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</si>
  <si>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</si>
  <si>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</si>
  <si>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</si>
  <si>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</si>
  <si>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</si>
  <si>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</si>
  <si>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</si>
  <si>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</si>
  <si>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</si>
  <si>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</si>
  <si>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</si>
  <si>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</si>
  <si>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</si>
  <si>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</si>
  <si>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</si>
  <si>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</si>
  <si>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</si>
  <si>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</si>
  <si>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</si>
  <si>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</si>
  <si>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</si>
  <si>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</si>
  <si>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</si>
  <si>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</si>
  <si>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</si>
  <si>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</si>
  <si>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</si>
  <si>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</si>
  <si>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</si>
  <si>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</si>
  <si>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</si>
  <si>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</si>
  <si>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</si>
  <si>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</si>
  <si>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</si>
  <si>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</si>
  <si>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</si>
  <si>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</si>
  <si>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</si>
  <si>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</si>
  <si>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</si>
  <si>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</si>
  <si>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</si>
  <si>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</si>
  <si>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</si>
  <si>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</si>
  <si>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</si>
  <si>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</si>
  <si>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</si>
  <si>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</si>
  <si>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</si>
  <si>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</si>
  <si>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</si>
  <si>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</si>
  <si>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</si>
  <si>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All in revises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</si>
  <si>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</si>
  <si>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</si>
  <si>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</si>
  <si>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</si>
  <si>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</si>
  <si>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MetSoc-Vol9-8771159</t>
  </si>
  <si>
    <t>PageProof-S200</t>
  </si>
  <si>
    <t>PMApproval</t>
  </si>
  <si>
    <t>etSoc-Vol9-8771159</t>
  </si>
  <si>
    <t>S200 - 
Login : 36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</si>
  <si>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</si>
  <si>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</si>
  <si>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</si>
  <si>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</si>
  <si>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</si>
  <si>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</si>
  <si>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</si>
  <si>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</si>
  <si>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</si>
  <si>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</si>
  <si>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</si>
  <si>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</si>
  <si>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</si>
  <si>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</si>
  <si>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S200 - 
Login :00 Chapters;
PE : 00 Chapters;
CE : 00 Chapters;
Comp : 00 Chapters;
Online Delivery : 00 Chapters</t>
  </si>
  <si>
    <t>S200 - 
Login : 00 Chapters;
PE :  00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</si>
  <si>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</si>
  <si>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</si>
  <si>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Hameed, Alaa Ali</t>
  </si>
  <si>
    <t>S50</t>
  </si>
  <si>
    <t>S650 A</t>
  </si>
  <si>
    <t>3 Books</t>
  </si>
  <si>
    <t>S200 delivered on 27-Oct</t>
  </si>
  <si>
    <t>Rahul</t>
  </si>
  <si>
    <t>Column2</t>
  </si>
  <si>
    <t>Delivered on 28th. Will move to S600 today</t>
  </si>
  <si>
    <t>Delivered on 28th- Will move to S600 today</t>
  </si>
  <si>
    <t>16 chaps in Revises</t>
  </si>
  <si>
    <t>S200 - 
Login : 00 Chapters;
PE : 05 Chapters;
CE : 25 Chapters;
Comp : 06 Chapters;
Online Delivery : 00 Chapters</t>
  </si>
  <si>
    <t>16 Chaps in Revises.</t>
  </si>
  <si>
    <t>S200 - 
Login : 01 Chapters;
PE : 126 Chapters;
CE : 02 Chapters;
Comp : 00 Chapters;
Online Delivery : 00 Chapters</t>
  </si>
  <si>
    <t>S200 - 
Login : 00 Chapters;
PE : 00 Chapters;
CE : 01 Chapters;
Comp : 47 Chapters;
Online Delivery : 00 Chapters</t>
  </si>
  <si>
    <t>S200 - 
Login : 00 Chapters;
PE : 17 Chapters;
CE : 23 Chapters;
Comp : 00 Chapters;
Online Delivery : 00 Chapters</t>
  </si>
  <si>
    <t>S200 - 
Login : 03 Chapters;
PE : 53 Chapters;
CE : 00 Chapters;
Comp : 00 Chapters;
Online Delivery : 00 Chapters</t>
  </si>
  <si>
    <t>González, Carina-8770441</t>
  </si>
  <si>
    <t>703158_1_En</t>
  </si>
  <si>
    <t>Camara, Moctar</t>
  </si>
  <si>
    <t>14 Books</t>
  </si>
  <si>
    <t>4 Books</t>
  </si>
  <si>
    <t>5 books</t>
  </si>
  <si>
    <t>1 Books</t>
  </si>
  <si>
    <t>1 books</t>
  </si>
  <si>
    <t>Mix Tex+word</t>
  </si>
  <si>
    <t>Supplementary Chapter 23 was there but in js it was showing "No" for all books. But was unable to move from Pred-edit stage so it was stuck for many days</t>
  </si>
  <si>
    <t xml:space="preserve">Hold for new manuscript solved. Index tagging query was raised on 6-Oct and query solved on 19th Oct.(Chap-05 &amp; 30) </t>
  </si>
  <si>
    <t>New manuscript recd again in S50 stage and chap-31 added. On 12-Oct26.-It was on hold and resumed back on 26th. Preface &amp; TOC(updated according to new manuscript recd on 27th-Oct), Index tagging for entire books was.updated raised on 27th &amp; reced on 28-oct)</t>
  </si>
  <si>
    <t>S200 - 
Login : 00 Chapters;
PE : 31 Chapters;
CE : 00 Chapters;
Comp : 00 Chapters;
Online Delivery : 00 Chapters</t>
  </si>
  <si>
    <t>Moved from Login on 29-oct</t>
  </si>
  <si>
    <t>FM &amp; TOC recd on27th and moved to S200 stage on 28th &amp; 29-oct.</t>
  </si>
  <si>
    <t>1 chap in Query in S50 stage(References file missing)</t>
  </si>
  <si>
    <t>Query for JS regarding mismatch in chaps. (1 week in query) in s50 stage. BM is also there+Index</t>
  </si>
  <si>
    <t>S200 - 
Login : 101 Chapters;
PE : 16 Chapters;
CE : 00 Chapters;
Comp : 00 Chapters;
Online Delivery : 00 Chapters</t>
  </si>
  <si>
    <t>S200 - 
Login : 00 Chapters;
PE : 69 Chapters;
CE : 00 Chapters;
Comp : 00 Chapters;
Online Delivery : 00 Chapters</t>
  </si>
  <si>
    <t>30 chap in Revises</t>
  </si>
  <si>
    <t>Delivered titles</t>
  </si>
  <si>
    <t>Remarks2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</si>
</sst>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0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18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5" borderId="11" xfId="0" applyFont="1" applyFill="1" applyBorder="1" applyAlignment="1">
      <alignment horizontal="center" vertical="center" wrapText="1"/>
    </xf>
    <xf numFmtId="16" fontId="0" fillId="5" borderId="1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7" xfId="0" applyNumberFormat="1" applyFont="1" applyFill="1" applyBorder="1" applyAlignment="1">
      <alignment horizontal="center" vertic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1" fillId="0" borderId="9" xfId="0" applyFont="1" applyBorder="1" applyAlignment="1">
      <alignment horizontal="center"/>
    </xf>
    <xf numFmtId="0" fontId="0" fillId="5" borderId="7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2" fillId="2" borderId="3" xfId="0" applyFont="1" applyFill="1" applyBorder="1" applyAlignment="1">
      <alignment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7" fontId="0" fillId="0" borderId="7" xfId="0" applyNumberFormat="1" applyBorder="1" applyAlignment="1">
      <alignment horizontal="center"/>
    </xf>
    <xf numFmtId="164" fontId="0" fillId="0" borderId="12" xfId="0" applyNumberFormat="1" applyFont="1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14" fillId="7" borderId="15" xfId="0" applyFont="1" applyFill="1" applyBorder="1" applyAlignment="1">
      <alignment vertical="top" wrapText="1"/>
    </xf>
    <xf numFmtId="0" fontId="14" fillId="7" borderId="16" xfId="0" applyFont="1" applyFill="1" applyBorder="1" applyAlignment="1">
      <alignment vertical="top" wrapText="1"/>
    </xf>
    <xf numFmtId="0" fontId="13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top" wrapText="1"/>
    </xf>
    <xf numFmtId="0" fontId="16" fillId="8" borderId="7" xfId="0" applyFont="1" applyFill="1" applyBorder="1" applyAlignment="1">
      <alignment vertical="top" wrapText="1"/>
    </xf>
    <xf numFmtId="0" fontId="18" fillId="9" borderId="12" xfId="0" applyFont="1" applyFill="1" applyBorder="1" applyAlignment="1">
      <alignment vertical="top" wrapText="1"/>
    </xf>
    <xf numFmtId="1" fontId="15" fillId="8" borderId="12" xfId="0" applyNumberFormat="1" applyFont="1" applyFill="1" applyBorder="1" applyAlignment="1">
      <alignment horizontal="center" vertical="top" wrapText="1"/>
    </xf>
    <xf numFmtId="0" fontId="17" fillId="3" borderId="19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vertical="top" wrapText="1"/>
    </xf>
    <xf numFmtId="1" fontId="15" fillId="8" borderId="14" xfId="0" applyNumberFormat="1" applyFont="1" applyFill="1" applyBorder="1" applyAlignment="1">
      <alignment horizontal="center" vertical="top" wrapText="1"/>
    </xf>
    <xf numFmtId="0" fontId="14" fillId="7" borderId="0" xfId="0" applyFont="1" applyFill="1" applyBorder="1" applyAlignment="1">
      <alignment vertical="top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0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9" xfId="0" applyFill="1" applyBorder="1" applyAlignment="1">
      <alignment wrapText="1"/>
    </xf>
    <xf numFmtId="0" fontId="0" fillId="5" borderId="0" xfId="0" applyFill="1" applyAlignment="1">
      <alignment wrapText="1"/>
    </xf>
    <xf numFmtId="0" fontId="19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vertical="center" wrapText="1"/>
    </xf>
    <xf numFmtId="0" fontId="6" fillId="5" borderId="0" xfId="0" applyFont="1" applyFill="1" applyAlignment="1">
      <alignment wrapText="1"/>
    </xf>
    <xf numFmtId="0" fontId="6" fillId="5" borderId="9" xfId="0" applyFont="1" applyFill="1" applyBorder="1" applyAlignment="1">
      <alignment wrapText="1"/>
    </xf>
    <xf numFmtId="0" fontId="5" fillId="5" borderId="9" xfId="0" applyFont="1" applyFill="1" applyBorder="1" applyAlignment="1">
      <alignment vertical="center" wrapText="1"/>
    </xf>
    <xf numFmtId="0" fontId="3" fillId="6" borderId="1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0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8" fillId="11" borderId="1" xfId="0" applyFont="1" applyFill="1" applyBorder="1" applyAlignment="1">
      <alignment horizontal="center"/>
    </xf>
    <xf numFmtId="0" fontId="21" fillId="10" borderId="1" xfId="0" applyFont="1" applyFill="1" applyBorder="1"/>
    <xf numFmtId="0" fontId="21" fillId="10" borderId="1" xfId="0" applyFont="1" applyFill="1" applyBorder="1" applyAlignment="1">
      <alignment horizontal="center"/>
    </xf>
    <xf numFmtId="0" fontId="22" fillId="12" borderId="1" xfId="0" applyFont="1" applyFill="1" applyBorder="1"/>
    <xf numFmtId="0" fontId="22" fillId="12" borderId="1" xfId="0" applyFont="1" applyFill="1" applyBorder="1" applyAlignment="1">
      <alignment horizontal="center"/>
    </xf>
    <xf numFmtId="0" fontId="5" fillId="3" borderId="9" xfId="0" applyFont="1" applyFill="1" applyBorder="1" applyAlignment="1">
      <alignment vertical="center" wrapText="1"/>
    </xf>
    <xf numFmtId="0" fontId="0" fillId="8" borderId="9" xfId="0" applyFont="1" applyFill="1" applyBorder="1" applyAlignment="1">
      <alignment horizontal="center" vertical="top" wrapText="1"/>
    </xf>
    <xf numFmtId="0" fontId="2" fillId="5" borderId="2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vertical="center" wrapText="1"/>
    </xf>
    <xf numFmtId="0" fontId="8" fillId="0" borderId="1" xfId="0" applyFont="1" applyBorder="1"/>
    <xf numFmtId="0" fontId="9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5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wrapText="1"/>
    </xf>
    <xf numFmtId="0" fontId="6" fillId="6" borderId="12" xfId="0" applyFont="1" applyFill="1" applyBorder="1" applyAlignment="1">
      <alignment wrapText="1"/>
    </xf>
    <xf numFmtId="0" fontId="6" fillId="5" borderId="14" xfId="0" applyFont="1" applyFill="1" applyBorder="1" applyAlignment="1">
      <alignment wrapText="1"/>
    </xf>
    <xf numFmtId="0" fontId="23" fillId="5" borderId="12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wrapText="1"/>
    </xf>
    <xf numFmtId="0" fontId="8" fillId="5" borderId="1" xfId="0" applyFont="1" applyFill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5" fillId="3" borderId="12" xfId="0" applyFont="1" applyFill="1" applyBorder="1" applyAlignment="1">
      <alignment vertical="center" wrapText="1"/>
    </xf>
    <xf numFmtId="0" fontId="0" fillId="5" borderId="7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5" fillId="5" borderId="1" xfId="0" applyFont="1" applyFill="1" applyBorder="1" applyAlignment="1">
      <alignment wrapText="1"/>
    </xf>
    <xf numFmtId="0" fontId="0" fillId="0" borderId="11" xfId="0" applyBorder="1" applyAlignment="1">
      <alignment wrapText="1"/>
    </xf>
    <xf numFmtId="0" fontId="24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top" wrapText="1"/>
    </xf>
    <xf numFmtId="0" fontId="14" fillId="7" borderId="22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6" fillId="3" borderId="1" xfId="0" applyFont="1" applyFill="1" applyBorder="1" applyAlignment="1">
      <alignment vertical="top" wrapText="1"/>
    </xf>
    <xf numFmtId="0" fontId="26" fillId="3" borderId="1" xfId="0" applyFont="1" applyFill="1" applyBorder="1" applyAlignment="1">
      <alignment horizontal="center" vertical="top" wrapText="1"/>
    </xf>
    <xf numFmtId="0" fontId="0" fillId="0" borderId="9" xfId="0" applyBorder="1"/>
    <xf numFmtId="1" fontId="0" fillId="0" borderId="9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1" fillId="0" borderId="1" xfId="0" applyNumberFormat="1" applyFont="1" applyBorder="1" applyAlignment="1">
      <alignment horizontal="center"/>
    </xf>
    <xf numFmtId="0" fontId="21" fillId="0" borderId="0" xfId="0" applyFont="1"/>
    <xf numFmtId="0" fontId="21" fillId="5" borderId="1" xfId="0" applyFont="1" applyFill="1" applyBorder="1" applyAlignment="1">
      <alignment horizontal="center"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7" fillId="5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27" fillId="5" borderId="1" xfId="0" applyFont="1" applyFill="1" applyBorder="1" applyAlignment="1">
      <alignment wrapText="1"/>
    </xf>
    <xf numFmtId="0" fontId="28" fillId="5" borderId="1" xfId="0" applyFont="1" applyFill="1" applyBorder="1" applyAlignment="1">
      <alignment horizontal="center" vertical="center" wrapText="1"/>
    </xf>
    <xf numFmtId="0" fontId="25" fillId="5" borderId="11" xfId="0" applyFont="1" applyFill="1" applyBorder="1" applyAlignment="1">
      <alignment wrapText="1"/>
    </xf>
    <xf numFmtId="0" fontId="29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/>
    </xf>
    <xf numFmtId="15" fontId="2" fillId="3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</cellXfs>
  <cellStyles count="1">
    <cellStyle name="Normal" xfId="0" builtinId="0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59">
      <pivotArea field="5" type="button" dataOnly="0" labelOnly="1" outline="0" axis="axisRow" fieldPosition="2"/>
    </format>
    <format dxfId="58">
      <pivotArea field="5" type="button" dataOnly="0" labelOnly="1" outline="0" axis="axisRow" fieldPosition="2"/>
    </format>
    <format dxfId="57">
      <pivotArea field="5" type="button" dataOnly="0" labelOnly="1" outline="0" axis="axisRow" fieldPosition="2"/>
    </format>
    <format dxfId="56">
      <pivotArea dataOnly="0" labelOnly="1" outline="0" fieldPosition="0">
        <references count="1">
          <reference field="2" count="1">
            <x v="4"/>
          </reference>
        </references>
      </pivotArea>
    </format>
    <format dxfId="55">
      <pivotArea dataOnly="0" labelOnly="1" outline="0" fieldPosition="0">
        <references count="1">
          <reference field="2" count="1">
            <x v="7"/>
          </reference>
        </references>
      </pivotArea>
    </format>
    <format dxfId="54">
      <pivotArea dataOnly="0" labelOnly="1" outline="0" fieldPosition="0">
        <references count="1">
          <reference field="2" count="1">
            <x v="19"/>
          </reference>
        </references>
      </pivotArea>
    </format>
    <format dxfId="53">
      <pivotArea dataOnly="0" labelOnly="1" outline="0" fieldPosition="0">
        <references count="1">
          <reference field="2" count="1">
            <x v="27"/>
          </reference>
        </references>
      </pivotArea>
    </format>
    <format dxfId="52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51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5" totalsRowShown="0" headerRowDxfId="50" dataDxfId="49">
  <autoFilter ref="A1:T35"/>
  <tableColumns count="20">
    <tableColumn id="1" name="S. no" dataDxfId="48"/>
    <tableColumn id="2" name="Book ID" dataDxfId="47"/>
    <tableColumn id="3" name="MPS ID" dataDxfId="46"/>
    <tableColumn id="4" name="Stage" dataDxfId="45"/>
    <tableColumn id="5" name="Received Date (S50)" dataDxfId="44"/>
    <tableColumn id="6" name="Current TAT (S50 onward)" dataDxfId="43"/>
    <tableColumn id="7" name="S200 TAT" dataDxfId="42"/>
    <tableColumn id="8" name="S300A TAT" dataDxfId="41"/>
    <tableColumn id="9" name="S300 TAT" dataDxfId="40"/>
    <tableColumn id="10" name="S600 TAT" dataDxfId="39"/>
    <tableColumn id="11" name="S650A TAT" dataDxfId="38"/>
    <tableColumn id="12" name="S650 TAT" dataDxfId="37"/>
    <tableColumn id="13" name="Total Chapters" dataDxfId="36"/>
    <tableColumn id="14" name="MS Pages" dataDxfId="35"/>
    <tableColumn id="15" name="Status - S200" dataDxfId="34"/>
    <tableColumn id="16" name="Status - 300" dataDxfId="33"/>
    <tableColumn id="17" name="Remarks" dataDxfId="32"/>
    <tableColumn id="18" name="Column1" dataDxfId="31"/>
    <tableColumn id="19" name="Plateform" dataDxfId="30"/>
    <tableColumn id="20" name="Column2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autoFilter ref="A1:S17">
    <filterColumn colId="17">
      <filters>
        <dateGroupItem year="2026" month="10" dateTimeGrouping="month"/>
      </filters>
    </filterColumn>
  </autoFilter>
  <tableColumns count="19">
    <tableColumn id="1" name="S. no" dataDxfId="28"/>
    <tableColumn id="2" name="Book ID" dataDxfId="27"/>
    <tableColumn id="3" name="MPS ID" dataDxfId="26"/>
    <tableColumn id="4" name="Stage" dataDxfId="25"/>
    <tableColumn id="5" name="Received Date (S50)" dataDxfId="24"/>
    <tableColumn id="6" name="Total Avg. Aging Days" dataDxfId="23"/>
    <tableColumn id="7" name="Total Avg.Aging Days in S200" dataDxfId="22"/>
    <tableColumn id="8" name="S300A TAT" dataDxfId="21"/>
    <tableColumn id="9" name="S300 TAT" dataDxfId="20"/>
    <tableColumn id="10" name="S600 TAT" dataDxfId="19"/>
    <tableColumn id="11" name="S650A TAT" dataDxfId="18"/>
    <tableColumn id="12" name="S650 TAT" dataDxfId="17"/>
    <tableColumn id="13" name="Total Chapters" dataDxfId="16"/>
    <tableColumn id="14" name="MS Pages" dataDxfId="15"/>
    <tableColumn id="19" name="TS Pages" dataDxfId="14"/>
    <tableColumn id="15" name="Status - S200" dataDxfId="13"/>
    <tableColumn id="16" name="Remarks" dataDxfId="12"/>
    <tableColumn id="17" name="Delivered Date " dataDxfId="11"/>
    <tableColumn id="18" name="Remarks2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9" tableBorderDxfId="8" totalsRowBorderDxfId="7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6" dataDxfId="4" headerRowBorderDxfId="5" tableBorderDxfId="3" totalsRowBorderDxfId="2">
  <autoFilter ref="B5:C10"/>
  <tableColumns count="2">
    <tableColumn id="1" name="Month" dataDxfId="1"/>
    <tableColumn id="2" name="No of titles delivered" dataDxfId="0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4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73" t="s">
        <v>127</v>
      </c>
    </row>
    <row r="4" spans="1:8" ht="29">
      <c r="A4" s="73" t="s">
        <v>2</v>
      </c>
      <c r="B4" s="73" t="s">
        <v>3</v>
      </c>
      <c r="C4" s="161" t="s">
        <v>40</v>
      </c>
      <c r="D4" t="s">
        <v>126</v>
      </c>
      <c r="E4" t="s">
        <v>128</v>
      </c>
      <c r="F4" t="s">
        <v>131</v>
      </c>
      <c r="G4" t="s">
        <v>129</v>
      </c>
      <c r="H4" t="s">
        <v>130</v>
      </c>
    </row>
    <row r="5" spans="1:8">
      <c r="A5" t="s">
        <v>87</v>
      </c>
      <c r="B5" t="s">
        <v>120</v>
      </c>
      <c r="C5">
        <v>32</v>
      </c>
      <c r="D5" s="74">
        <v>1</v>
      </c>
      <c r="E5" s="74">
        <v>1</v>
      </c>
      <c r="F5" s="74">
        <v>1</v>
      </c>
      <c r="G5" s="74"/>
      <c r="H5" s="74"/>
    </row>
    <row r="6" spans="1:8">
      <c r="A6" t="s">
        <v>153</v>
      </c>
      <c r="B6" t="s">
        <v>120</v>
      </c>
      <c r="C6">
        <v>32</v>
      </c>
      <c r="D6" s="74">
        <v>1</v>
      </c>
      <c r="E6" s="74">
        <v>1</v>
      </c>
      <c r="F6" s="74">
        <v>1</v>
      </c>
      <c r="G6" s="74">
        <v>1</v>
      </c>
      <c r="H6" s="74"/>
    </row>
    <row r="7" spans="1:8">
      <c r="A7" t="s">
        <v>154</v>
      </c>
      <c r="B7" t="s">
        <v>120</v>
      </c>
      <c r="C7">
        <v>32</v>
      </c>
      <c r="D7" s="74">
        <v>1</v>
      </c>
      <c r="E7" s="74">
        <v>1</v>
      </c>
      <c r="F7" s="74">
        <v>1</v>
      </c>
      <c r="G7" s="74"/>
      <c r="H7" s="74"/>
    </row>
    <row r="8" spans="1:8">
      <c r="A8" t="s">
        <v>156</v>
      </c>
      <c r="B8" t="s">
        <v>120</v>
      </c>
      <c r="C8">
        <v>35</v>
      </c>
      <c r="D8" s="74">
        <v>1</v>
      </c>
      <c r="E8" s="74">
        <v>1</v>
      </c>
      <c r="F8" s="74">
        <v>1</v>
      </c>
      <c r="G8" s="74"/>
      <c r="H8" s="74"/>
    </row>
    <row r="9" spans="1:8">
      <c r="A9" t="s">
        <v>157</v>
      </c>
      <c r="B9" t="s">
        <v>120</v>
      </c>
      <c r="C9">
        <v>40</v>
      </c>
      <c r="D9" s="74">
        <v>1</v>
      </c>
      <c r="E9" s="74">
        <v>1</v>
      </c>
      <c r="F9" s="74">
        <v>1</v>
      </c>
      <c r="G9" s="74"/>
      <c r="H9" s="74"/>
    </row>
    <row r="10" spans="1:8">
      <c r="A10" t="s">
        <v>158</v>
      </c>
      <c r="B10" t="s">
        <v>120</v>
      </c>
      <c r="C10">
        <v>40</v>
      </c>
      <c r="D10" s="74">
        <v>1</v>
      </c>
      <c r="E10" s="74">
        <v>1</v>
      </c>
      <c r="F10" s="74">
        <v>1</v>
      </c>
      <c r="G10" s="74">
        <v>1</v>
      </c>
      <c r="H10" s="74"/>
    </row>
    <row r="11" spans="1:8">
      <c r="A11" t="s">
        <v>160</v>
      </c>
      <c r="B11" t="s">
        <v>120</v>
      </c>
      <c r="C11">
        <v>34</v>
      </c>
      <c r="D11" s="74">
        <v>1</v>
      </c>
      <c r="E11" s="74">
        <v>1</v>
      </c>
      <c r="F11" s="74">
        <v>1</v>
      </c>
      <c r="G11" s="74"/>
      <c r="H11" s="74"/>
    </row>
    <row r="12" spans="1:8">
      <c r="A12" t="s">
        <v>125</v>
      </c>
      <c r="C12"/>
      <c r="D12" s="74">
        <v>7</v>
      </c>
      <c r="E12" s="74">
        <v>7</v>
      </c>
      <c r="F12" s="74">
        <v>7</v>
      </c>
      <c r="G12" s="74">
        <v>2</v>
      </c>
      <c r="H12" s="74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6"/>
  <sheetViews>
    <sheetView zoomScale="99" workbookViewId="0">
      <pane ySplit="1" topLeftCell="A2" activePane="bottomLeft" state="frozen"/>
      <selection pane="bottomLeft" activeCell="B2" sqref="B2"/>
    </sheetView>
  </sheetViews>
  <sheetFormatPr defaultColWidth="15.81640625" defaultRowHeight="14.5"/>
  <cols>
    <col min="1" max="1" width="7" style="35" customWidth="1"/>
    <col min="2" max="2" width="13.08984375" style="53" customWidth="1"/>
    <col min="3" max="3" width="21.453125" style="53" customWidth="1"/>
    <col min="4" max="4" width="13.6328125" style="39" customWidth="1"/>
    <col min="5" max="5" width="18.81640625" style="39" customWidth="1"/>
    <col min="6" max="6" width="23.90625" style="185" customWidth="1"/>
    <col min="7" max="7" width="20.26953125" style="39" customWidth="1"/>
    <col min="8" max="8" width="10" style="18" bestFit="1" customWidth="1"/>
    <col min="9" max="10" width="8.7265625" style="18" bestFit="1" customWidth="1"/>
    <col min="11" max="11" width="10" style="18" bestFit="1" customWidth="1"/>
    <col min="12" max="12" width="8.7265625" style="18" bestFit="1" customWidth="1"/>
    <col min="13" max="13" width="17.08984375" style="39" bestFit="1" customWidth="1"/>
    <col min="14" max="14" width="12.6328125" style="35" bestFit="1" customWidth="1"/>
    <col min="15" max="15" width="19.54296875" style="97" customWidth="1"/>
    <col min="16" max="16" width="16" style="97" customWidth="1"/>
    <col min="17" max="17" width="15.81640625" style="97" customWidth="1"/>
    <col min="18" max="18" width="19.26953125" style="17" customWidth="1"/>
    <col min="19" max="19" width="15.81640625" style="17"/>
    <col min="20" max="16384" width="15.81640625" style="18"/>
  </cols>
  <sheetData>
    <row r="1" spans="1:20" ht="15" customHeight="1" thickBot="1">
      <c r="A1" s="40" t="s">
        <v>0</v>
      </c>
      <c r="B1" s="54" t="s">
        <v>1</v>
      </c>
      <c r="C1" s="13" t="s">
        <v>2</v>
      </c>
      <c r="D1" s="12" t="s">
        <v>3</v>
      </c>
      <c r="E1" s="12" t="s">
        <v>4</v>
      </c>
      <c r="F1" s="12" t="s">
        <v>40</v>
      </c>
      <c r="G1" s="12" t="s">
        <v>41</v>
      </c>
      <c r="H1" s="13" t="s">
        <v>42</v>
      </c>
      <c r="I1" s="13" t="s">
        <v>43</v>
      </c>
      <c r="J1" s="13" t="s">
        <v>44</v>
      </c>
      <c r="K1" s="13" t="s">
        <v>45</v>
      </c>
      <c r="L1" s="13" t="s">
        <v>46</v>
      </c>
      <c r="M1" s="12" t="s">
        <v>47</v>
      </c>
      <c r="N1" s="12" t="s">
        <v>180</v>
      </c>
      <c r="O1" s="18" t="s">
        <v>49</v>
      </c>
      <c r="P1" s="18" t="s">
        <v>50</v>
      </c>
      <c r="Q1" s="18" t="s">
        <v>51</v>
      </c>
      <c r="R1" s="17" t="s">
        <v>124</v>
      </c>
      <c r="S1" s="17" t="s">
        <v>118</v>
      </c>
      <c r="T1" s="184" t="s">
        <v>219</v>
      </c>
    </row>
    <row r="2" spans="1:20" ht="240">
      <c r="A2" s="36">
        <f t="shared" ref="A2:A10" si="0">ROW()-1</f>
        <v>1</v>
      </c>
      <c r="B2" s="55" t="s">
        <v>17</v>
      </c>
      <c r="C2" s="100" t="s">
        <v>18</v>
      </c>
      <c r="D2" s="36" t="s">
        <v>189</v>
      </c>
      <c r="E2" s="37">
        <v>46258</v>
      </c>
      <c r="F2" s="72">
        <f t="shared" ref="F2:F12" ca="1" si="1">TODAY()-E2</f>
        <v>66</v>
      </c>
      <c r="G2" s="36">
        <f>DATE(2026,9,19)-DATE(2026,8,24)</f>
        <v>26</v>
      </c>
      <c r="H2" s="36">
        <f>DATE(2026,10,22)-DATE(2026,9,19)</f>
        <v>33</v>
      </c>
      <c r="I2" s="36">
        <f>DATE(2026,10,24)-DATE(2026,10,22)</f>
        <v>2</v>
      </c>
      <c r="J2" s="24">
        <f ca="1">TODAY()-DATE(2026,10,25)</f>
        <v>4</v>
      </c>
      <c r="K2" s="24">
        <f ca="1">TODAY()-DATE(2026,10,27)</f>
        <v>2</v>
      </c>
      <c r="L2" s="24"/>
      <c r="M2" s="24">
        <v>32</v>
      </c>
      <c r="N2" s="24">
        <v>500</v>
      </c>
      <c r="O2" s="96" t="s">
        <v>59</v>
      </c>
      <c r="P2" s="30" t="s">
        <v>183</v>
      </c>
      <c r="Q2" s="132" t="s">
        <v>176</v>
      </c>
      <c r="R2" s="89" t="s">
        <v>86</v>
      </c>
      <c r="S2" s="89" t="s">
        <v>151</v>
      </c>
      <c r="T2" s="183"/>
    </row>
    <row r="3" spans="1:20" ht="60">
      <c r="A3" s="36">
        <f t="shared" si="0"/>
        <v>2</v>
      </c>
      <c r="B3" s="51" t="s">
        <v>27</v>
      </c>
      <c r="C3" s="180" t="s">
        <v>153</v>
      </c>
      <c r="D3" s="42" t="s">
        <v>120</v>
      </c>
      <c r="E3" s="26">
        <v>46291</v>
      </c>
      <c r="F3" s="24">
        <f t="shared" ca="1" si="1"/>
        <v>33</v>
      </c>
      <c r="G3" s="24">
        <f>DATE(2026,10,10)-DATE(2026,9,26)</f>
        <v>14</v>
      </c>
      <c r="H3" s="88">
        <f>DATE(2026,10,24)-DATE(2026,10,10)</f>
        <v>14</v>
      </c>
      <c r="I3" s="88">
        <f>DATE(2026,10,28)-DATE(2026,10,25)</f>
        <v>3</v>
      </c>
      <c r="J3" s="38">
        <f ca="1">TODAY()-DATE(2026,10,29)</f>
        <v>0</v>
      </c>
      <c r="K3" s="17"/>
      <c r="L3" s="17"/>
      <c r="M3" s="24">
        <v>15</v>
      </c>
      <c r="N3" s="24">
        <v>200</v>
      </c>
      <c r="O3" s="96" t="s">
        <v>59</v>
      </c>
      <c r="P3" s="95" t="s">
        <v>220</v>
      </c>
      <c r="Q3" s="133" t="s">
        <v>64</v>
      </c>
      <c r="R3" s="139" t="s">
        <v>85</v>
      </c>
      <c r="S3" s="89" t="s">
        <v>151</v>
      </c>
      <c r="T3" s="158"/>
    </row>
    <row r="4" spans="1:20" ht="60">
      <c r="A4" s="36">
        <f t="shared" si="0"/>
        <v>3</v>
      </c>
      <c r="B4" s="56" t="s">
        <v>30</v>
      </c>
      <c r="C4" s="179" t="s">
        <v>154</v>
      </c>
      <c r="D4" s="42" t="s">
        <v>164</v>
      </c>
      <c r="E4" s="26">
        <v>46291</v>
      </c>
      <c r="F4" s="24">
        <f t="shared" ca="1" si="1"/>
        <v>33</v>
      </c>
      <c r="G4" s="24">
        <f>DATE(2026,10,12)-DATE(2026,9,26)</f>
        <v>16</v>
      </c>
      <c r="H4" s="88">
        <f>DATE(2026,10,22)-DATE(2026,10,12)</f>
        <v>10</v>
      </c>
      <c r="I4" s="88">
        <f>DATE(2026,10,28)-DATE(2026,10,23)</f>
        <v>5</v>
      </c>
      <c r="J4" s="88">
        <f ca="1">TODAY()-DATE(2026,10,28)</f>
        <v>1</v>
      </c>
      <c r="K4" s="88"/>
      <c r="L4" s="88"/>
      <c r="M4" s="24">
        <v>15</v>
      </c>
      <c r="N4" s="24">
        <v>200</v>
      </c>
      <c r="O4" s="96" t="s">
        <v>59</v>
      </c>
      <c r="P4" s="95"/>
      <c r="Q4" s="133" t="s">
        <v>64</v>
      </c>
      <c r="R4" s="89"/>
      <c r="S4" s="89" t="s">
        <v>151</v>
      </c>
      <c r="T4" s="158"/>
    </row>
    <row r="5" spans="1:20" ht="60">
      <c r="A5" s="36">
        <f t="shared" si="0"/>
        <v>4</v>
      </c>
      <c r="B5" s="56" t="s">
        <v>25</v>
      </c>
      <c r="C5" s="25" t="s">
        <v>155</v>
      </c>
      <c r="D5" s="24" t="s">
        <v>164</v>
      </c>
      <c r="E5" s="26">
        <v>46288</v>
      </c>
      <c r="F5" s="24">
        <f t="shared" ca="1" si="1"/>
        <v>36</v>
      </c>
      <c r="G5" s="52">
        <f>DATE(2026,10,8)-DATE(2026,9,23)</f>
        <v>15</v>
      </c>
      <c r="H5" s="38">
        <f>DATE(2026,10,24)-DATE(2026,10,8)</f>
        <v>16</v>
      </c>
      <c r="I5" s="38">
        <f>DATE(2026,10,26)-DATE(2026,10,25)</f>
        <v>1</v>
      </c>
      <c r="J5" s="38">
        <f ca="1">TODAY()-DATE(2026,10,27)</f>
        <v>2</v>
      </c>
      <c r="K5" s="38"/>
      <c r="L5" s="38"/>
      <c r="M5" s="24">
        <v>31</v>
      </c>
      <c r="N5" s="24">
        <v>280</v>
      </c>
      <c r="O5" s="96" t="s">
        <v>59</v>
      </c>
      <c r="P5" s="95"/>
      <c r="Q5" s="133" t="s">
        <v>63</v>
      </c>
      <c r="R5" s="89" t="s">
        <v>86</v>
      </c>
      <c r="S5" s="89" t="s">
        <v>151</v>
      </c>
      <c r="T5" s="158"/>
    </row>
    <row r="6" spans="1:20" ht="60">
      <c r="A6" s="36">
        <f t="shared" si="0"/>
        <v>5</v>
      </c>
      <c r="B6" s="56" t="s">
        <v>26</v>
      </c>
      <c r="C6" s="179" t="s">
        <v>156</v>
      </c>
      <c r="D6" s="24" t="s">
        <v>120</v>
      </c>
      <c r="E6" s="26">
        <v>46288</v>
      </c>
      <c r="F6" s="24">
        <f t="shared" ca="1" si="1"/>
        <v>36</v>
      </c>
      <c r="G6" s="175">
        <f>DATE(2026,10,14)-DATE(2026,10,2)</f>
        <v>12</v>
      </c>
      <c r="H6" s="88">
        <f>DATE(2026,10,27)-DATE(2026,10,14)</f>
        <v>13</v>
      </c>
      <c r="I6" s="88">
        <f>DATE(2026,10,28)-DATE(2026,10,28)</f>
        <v>0</v>
      </c>
      <c r="J6" s="88"/>
      <c r="K6" s="88"/>
      <c r="L6" s="88"/>
      <c r="M6" s="24">
        <v>25</v>
      </c>
      <c r="N6" s="24">
        <v>240</v>
      </c>
      <c r="O6" s="96" t="s">
        <v>59</v>
      </c>
      <c r="P6" s="95" t="s">
        <v>221</v>
      </c>
      <c r="Q6" s="133" t="s">
        <v>137</v>
      </c>
      <c r="R6" s="140" t="s">
        <v>169</v>
      </c>
      <c r="S6" s="89" t="s">
        <v>151</v>
      </c>
      <c r="T6" s="158"/>
    </row>
    <row r="7" spans="1:20" ht="60">
      <c r="A7" s="36">
        <f t="shared" si="0"/>
        <v>6</v>
      </c>
      <c r="B7" s="56" t="s">
        <v>29</v>
      </c>
      <c r="C7" s="25" t="s">
        <v>157</v>
      </c>
      <c r="D7" s="24" t="s">
        <v>120</v>
      </c>
      <c r="E7" s="26">
        <v>46283</v>
      </c>
      <c r="F7" s="24">
        <f t="shared" ca="1" si="1"/>
        <v>41</v>
      </c>
      <c r="G7" s="24">
        <f>DATE(2026,10,7)-DATE(2026,9,21)</f>
        <v>16</v>
      </c>
      <c r="H7" s="38">
        <f>DATE(2026,10,24)-DATE(2026,10,8)</f>
        <v>16</v>
      </c>
      <c r="I7" s="130">
        <f>DATE(2026,10,28)-DATE(2026,10,25)</f>
        <v>3</v>
      </c>
      <c r="J7" s="17"/>
      <c r="K7" s="17"/>
      <c r="L7" s="17"/>
      <c r="M7" s="24">
        <v>25</v>
      </c>
      <c r="N7" s="24">
        <v>244</v>
      </c>
      <c r="O7" s="96" t="s">
        <v>59</v>
      </c>
      <c r="P7" s="95" t="s">
        <v>221</v>
      </c>
      <c r="Q7" s="133" t="s">
        <v>111</v>
      </c>
      <c r="R7" s="89" t="s">
        <v>121</v>
      </c>
      <c r="S7" s="89" t="s">
        <v>151</v>
      </c>
      <c r="T7" s="158"/>
    </row>
    <row r="8" spans="1:20" s="129" customFormat="1" ht="60">
      <c r="A8" s="122">
        <f t="shared" si="0"/>
        <v>7</v>
      </c>
      <c r="B8" s="123" t="s">
        <v>28</v>
      </c>
      <c r="C8" s="101" t="s">
        <v>159</v>
      </c>
      <c r="D8" s="122" t="s">
        <v>189</v>
      </c>
      <c r="E8" s="124">
        <v>46283</v>
      </c>
      <c r="F8" s="122">
        <f t="shared" ca="1" si="1"/>
        <v>41</v>
      </c>
      <c r="G8" s="122">
        <f>DATE(2026,10,7)-DATE(2026,9,21)</f>
        <v>16</v>
      </c>
      <c r="H8" s="125">
        <f>DATE(2026,10,19)-DATE(2026,10,12)</f>
        <v>7</v>
      </c>
      <c r="I8" s="125">
        <f ca="1">TODAY()-DATE(2026,10,20)</f>
        <v>9</v>
      </c>
      <c r="J8" s="125">
        <f>DATE(2026,10,26)-DATE(2026,10,22)</f>
        <v>4</v>
      </c>
      <c r="K8" s="125">
        <f ca="1">TODAY()-DATE(2026,10,29)</f>
        <v>0</v>
      </c>
      <c r="L8" s="126"/>
      <c r="M8" s="122">
        <v>9</v>
      </c>
      <c r="N8" s="122">
        <v>100</v>
      </c>
      <c r="O8" s="127" t="s">
        <v>59</v>
      </c>
      <c r="P8" s="128"/>
      <c r="Q8" s="134" t="s">
        <v>63</v>
      </c>
      <c r="R8" s="126"/>
      <c r="S8" s="126" t="s">
        <v>151</v>
      </c>
      <c r="T8" s="158"/>
    </row>
    <row r="9" spans="1:20" ht="60">
      <c r="A9" s="24">
        <f t="shared" si="0"/>
        <v>8</v>
      </c>
      <c r="B9" s="70" t="s">
        <v>23</v>
      </c>
      <c r="C9" s="25" t="s">
        <v>158</v>
      </c>
      <c r="D9" s="24" t="s">
        <v>164</v>
      </c>
      <c r="E9" s="26">
        <v>46283</v>
      </c>
      <c r="F9" s="24">
        <f t="shared" ca="1" si="1"/>
        <v>41</v>
      </c>
      <c r="G9" s="24">
        <f>DATE(2026,10,9)-DATE(2026,9,21)</f>
        <v>18</v>
      </c>
      <c r="H9" s="38">
        <f>DATE(2026,10,24)-DATE(2026,10,12)</f>
        <v>12</v>
      </c>
      <c r="I9" s="130">
        <f>DATE(2026,10,28)-DATE(2026,10,25)</f>
        <v>3</v>
      </c>
      <c r="J9" s="88">
        <f ca="1">TODAY()-DATE(2026,10,28)</f>
        <v>1</v>
      </c>
      <c r="K9" s="89"/>
      <c r="L9" s="89"/>
      <c r="M9" s="24">
        <v>13</v>
      </c>
      <c r="N9" s="24">
        <v>120</v>
      </c>
      <c r="O9" s="96" t="s">
        <v>59</v>
      </c>
      <c r="P9" s="95"/>
      <c r="Q9" s="133" t="s">
        <v>63</v>
      </c>
      <c r="R9" s="89"/>
      <c r="S9" s="89" t="s">
        <v>151</v>
      </c>
      <c r="T9" s="158"/>
    </row>
    <row r="10" spans="1:20" ht="60">
      <c r="A10" s="36">
        <f t="shared" si="0"/>
        <v>9</v>
      </c>
      <c r="B10" s="51" t="s">
        <v>31</v>
      </c>
      <c r="C10" s="180" t="s">
        <v>160</v>
      </c>
      <c r="D10" s="42" t="s">
        <v>120</v>
      </c>
      <c r="E10" s="26">
        <v>46289</v>
      </c>
      <c r="F10" s="42">
        <f t="shared" ca="1" si="1"/>
        <v>35</v>
      </c>
      <c r="G10" s="38">
        <f>DATE(2026,10,11)-DATE(2026,9,25)</f>
        <v>16</v>
      </c>
      <c r="H10" s="38">
        <f>DATE(2026,10,24)-DATE(2026,10,12)</f>
        <v>12</v>
      </c>
      <c r="I10" s="130">
        <f ca="1">TODAY()-DATE(2026,10,25)</f>
        <v>4</v>
      </c>
      <c r="J10" s="89"/>
      <c r="K10" s="89"/>
      <c r="L10" s="89"/>
      <c r="M10" s="24">
        <v>37</v>
      </c>
      <c r="N10" s="24">
        <v>200</v>
      </c>
      <c r="O10" s="96" t="s">
        <v>59</v>
      </c>
      <c r="P10" s="95" t="s">
        <v>184</v>
      </c>
      <c r="Q10" s="133" t="s">
        <v>65</v>
      </c>
      <c r="R10" s="139" t="s">
        <v>85</v>
      </c>
      <c r="S10" s="89" t="s">
        <v>151</v>
      </c>
      <c r="T10" s="158"/>
    </row>
    <row r="11" spans="1:20" ht="60">
      <c r="A11" s="36">
        <f t="shared" ref="A11" si="2">ROW()-1</f>
        <v>10</v>
      </c>
      <c r="B11" s="51" t="s">
        <v>95</v>
      </c>
      <c r="C11" s="179" t="s">
        <v>161</v>
      </c>
      <c r="D11" s="3" t="s">
        <v>62</v>
      </c>
      <c r="E11" s="26">
        <v>46295</v>
      </c>
      <c r="F11" s="3">
        <f t="shared" ca="1" si="1"/>
        <v>29</v>
      </c>
      <c r="G11" s="88">
        <f>DATE(2026,10,27)-DATE(2026,10,12)</f>
        <v>15</v>
      </c>
      <c r="H11" s="88">
        <f>DATE(2026,10,28)-DATE(2026,10,28)</f>
        <v>0</v>
      </c>
      <c r="I11" s="88">
        <f ca="1">TODAY()-DATE(2026,10,29)</f>
        <v>0</v>
      </c>
      <c r="J11" s="89"/>
      <c r="K11" s="89"/>
      <c r="L11" s="89"/>
      <c r="M11" s="24">
        <v>78</v>
      </c>
      <c r="N11" s="24">
        <v>750</v>
      </c>
      <c r="O11" s="96" t="s">
        <v>209</v>
      </c>
      <c r="P11" s="95" t="s">
        <v>222</v>
      </c>
      <c r="Q11" s="133" t="s">
        <v>148</v>
      </c>
      <c r="R11" s="89"/>
      <c r="S11" s="89" t="s">
        <v>151</v>
      </c>
      <c r="T11" s="158"/>
    </row>
    <row r="12" spans="1:20" ht="130.5">
      <c r="A12" s="36">
        <f t="shared" ref="A12:A34" si="3">ROW()-1</f>
        <v>11</v>
      </c>
      <c r="B12" s="51" t="s">
        <v>32</v>
      </c>
      <c r="C12" s="179" t="s">
        <v>96</v>
      </c>
      <c r="D12" s="24" t="s">
        <v>62</v>
      </c>
      <c r="E12" s="26">
        <v>46293</v>
      </c>
      <c r="F12" s="24">
        <f t="shared" ca="1" si="1"/>
        <v>31</v>
      </c>
      <c r="G12" s="88">
        <f>DATE(2026,10,21)-DATE(2026,9,30)</f>
        <v>21</v>
      </c>
      <c r="H12" s="88">
        <f>DATE(2026,10,28)-DATE(2026,10,26)</f>
        <v>2</v>
      </c>
      <c r="I12" s="88">
        <f ca="1">TODAY()-DATE(2026,10,29)</f>
        <v>0</v>
      </c>
      <c r="J12" s="89"/>
      <c r="K12" s="89"/>
      <c r="L12" s="89"/>
      <c r="M12" s="24">
        <v>81</v>
      </c>
      <c r="N12" s="24">
        <v>600</v>
      </c>
      <c r="O12" s="96" t="s">
        <v>59</v>
      </c>
      <c r="P12" s="95" t="s">
        <v>248</v>
      </c>
      <c r="Q12" s="133" t="s">
        <v>66</v>
      </c>
      <c r="R12" s="89" t="s">
        <v>238</v>
      </c>
      <c r="S12" s="89" t="s">
        <v>151</v>
      </c>
      <c r="T12" s="158"/>
    </row>
    <row r="13" spans="1:20" ht="60">
      <c r="A13" s="36">
        <f t="shared" si="3"/>
        <v>12</v>
      </c>
      <c r="B13" s="71" t="s">
        <v>35</v>
      </c>
      <c r="C13" s="101" t="s">
        <v>36</v>
      </c>
      <c r="D13" s="24" t="s">
        <v>189</v>
      </c>
      <c r="E13" s="26">
        <v>46282</v>
      </c>
      <c r="F13" s="24">
        <f ca="1">TODAY()-DATE(2026,9,17)</f>
        <v>42</v>
      </c>
      <c r="G13" s="24">
        <f>DATE(2026,10,6)-DATE(2026,9,17)</f>
        <v>19</v>
      </c>
      <c r="H13" s="88">
        <f>DATE(2026,10,21)-DATE(2026,10,8)</f>
        <v>13</v>
      </c>
      <c r="I13" s="88">
        <f>DATE(2026,10,22)-DATE(2026,10,21)</f>
        <v>1</v>
      </c>
      <c r="J13" s="121">
        <f>DATE(2026,10,24)-DATE(2026,10,23)</f>
        <v>1</v>
      </c>
      <c r="K13" s="91">
        <f ca="1">TODAY()-DATE(2026,10,26)</f>
        <v>3</v>
      </c>
      <c r="L13" s="92"/>
      <c r="M13" s="24">
        <v>41</v>
      </c>
      <c r="N13" s="24">
        <v>500</v>
      </c>
      <c r="O13" s="96" t="s">
        <v>59</v>
      </c>
      <c r="P13" s="95"/>
      <c r="Q13" s="135" t="s">
        <v>66</v>
      </c>
      <c r="R13" s="89"/>
      <c r="S13" s="89" t="s">
        <v>151</v>
      </c>
      <c r="T13" s="158"/>
    </row>
    <row r="14" spans="1:20" ht="60">
      <c r="A14" s="36">
        <f t="shared" si="3"/>
        <v>13</v>
      </c>
      <c r="B14" s="51" t="s">
        <v>37</v>
      </c>
      <c r="C14" s="179" t="s">
        <v>97</v>
      </c>
      <c r="D14" s="24" t="s">
        <v>19</v>
      </c>
      <c r="E14" s="26">
        <v>46294</v>
      </c>
      <c r="F14" s="33">
        <f ca="1">TODAY()-E14</f>
        <v>30</v>
      </c>
      <c r="G14" s="88">
        <f ca="1">TODAY()-DATE(2026,10,3)</f>
        <v>26</v>
      </c>
      <c r="H14" s="89"/>
      <c r="I14" s="89"/>
      <c r="J14" s="89"/>
      <c r="K14" s="89"/>
      <c r="L14" s="89"/>
      <c r="M14" s="24">
        <v>36</v>
      </c>
      <c r="N14" s="24">
        <v>500</v>
      </c>
      <c r="O14" s="96" t="s">
        <v>223</v>
      </c>
      <c r="P14" s="95" t="s">
        <v>166</v>
      </c>
      <c r="Q14" s="133" t="s">
        <v>239</v>
      </c>
      <c r="R14" s="89"/>
      <c r="S14" s="89" t="s">
        <v>150</v>
      </c>
      <c r="T14" s="158"/>
    </row>
    <row r="15" spans="1:20" ht="60">
      <c r="A15" s="36">
        <f t="shared" si="3"/>
        <v>14</v>
      </c>
      <c r="B15" s="51" t="s">
        <v>84</v>
      </c>
      <c r="C15" s="179" t="s">
        <v>83</v>
      </c>
      <c r="D15" s="24" t="s">
        <v>62</v>
      </c>
      <c r="E15" s="26">
        <v>46292</v>
      </c>
      <c r="F15" s="24">
        <f ca="1">TODAY()-E15</f>
        <v>32</v>
      </c>
      <c r="G15" s="88">
        <f>DATE(2026,10,27)-DATE(2026,9,28)</f>
        <v>29</v>
      </c>
      <c r="H15" s="88">
        <f ca="1">TODAY()-DATE(2026,10,28)</f>
        <v>1</v>
      </c>
      <c r="I15" s="88"/>
      <c r="J15" s="89"/>
      <c r="K15" s="89"/>
      <c r="L15" s="89"/>
      <c r="M15" s="24">
        <v>31</v>
      </c>
      <c r="N15" s="88">
        <v>500</v>
      </c>
      <c r="O15" s="96" t="s">
        <v>210</v>
      </c>
      <c r="P15" s="95" t="s">
        <v>217</v>
      </c>
      <c r="Q15" s="133"/>
      <c r="R15" s="89"/>
      <c r="S15" s="89" t="s">
        <v>151</v>
      </c>
      <c r="T15" s="158"/>
    </row>
    <row r="16" spans="1:20" ht="60">
      <c r="A16" s="36">
        <f t="shared" si="3"/>
        <v>15</v>
      </c>
      <c r="B16" s="51" t="s">
        <v>88</v>
      </c>
      <c r="C16" s="25" t="s">
        <v>87</v>
      </c>
      <c r="D16" s="24" t="s">
        <v>62</v>
      </c>
      <c r="E16" s="26">
        <v>46291</v>
      </c>
      <c r="F16" s="24">
        <f ca="1">TODAY()-E16</f>
        <v>33</v>
      </c>
      <c r="G16" s="36">
        <f>DATE(2026,10,22)-DATE(2026,9,28)</f>
        <v>24</v>
      </c>
      <c r="H16" s="88">
        <f>DATE(2026,10,27)-DATE(2026,10,22)</f>
        <v>5</v>
      </c>
      <c r="I16" s="88">
        <f ca="1">TODAY()-DATE(2026,10,28)</f>
        <v>1</v>
      </c>
      <c r="J16" s="89"/>
      <c r="K16" s="89"/>
      <c r="L16" s="89"/>
      <c r="M16" s="24">
        <v>28</v>
      </c>
      <c r="N16" s="88">
        <v>350</v>
      </c>
      <c r="O16" s="99" t="s">
        <v>59</v>
      </c>
      <c r="P16" s="98" t="s">
        <v>224</v>
      </c>
      <c r="Q16" s="135"/>
      <c r="R16" s="89"/>
      <c r="S16" s="89" t="s">
        <v>151</v>
      </c>
      <c r="T16" s="158"/>
    </row>
    <row r="17" spans="1:20" ht="60">
      <c r="A17" s="36">
        <f t="shared" si="3"/>
        <v>16</v>
      </c>
      <c r="B17" s="51" t="s">
        <v>89</v>
      </c>
      <c r="C17" s="182" t="s">
        <v>140</v>
      </c>
      <c r="D17" s="3" t="s">
        <v>19</v>
      </c>
      <c r="E17" s="26">
        <v>46302</v>
      </c>
      <c r="F17" s="24">
        <f ca="1">TODAY()-E17</f>
        <v>22</v>
      </c>
      <c r="G17" s="71">
        <f ca="1">TODAY()-DATE(2026,10,21)</f>
        <v>8</v>
      </c>
      <c r="H17" s="89"/>
      <c r="I17" s="89"/>
      <c r="J17" s="89"/>
      <c r="K17" s="89"/>
      <c r="L17" s="89"/>
      <c r="M17" s="24">
        <f>129+6</f>
        <v>135</v>
      </c>
      <c r="N17" s="88">
        <v>1500</v>
      </c>
      <c r="O17" s="99" t="s">
        <v>225</v>
      </c>
      <c r="P17" s="95" t="s">
        <v>245</v>
      </c>
      <c r="Q17" s="136" t="s">
        <v>170</v>
      </c>
      <c r="R17" s="89"/>
      <c r="S17" s="89" t="s">
        <v>150</v>
      </c>
      <c r="T17" s="158"/>
    </row>
    <row r="18" spans="1:20" ht="33.5" customHeight="1">
      <c r="A18" s="36">
        <f t="shared" si="3"/>
        <v>17</v>
      </c>
      <c r="B18" s="141" t="s">
        <v>90</v>
      </c>
      <c r="C18" s="181" t="s">
        <v>91</v>
      </c>
      <c r="D18" s="3" t="s">
        <v>19</v>
      </c>
      <c r="E18" s="26">
        <v>46295</v>
      </c>
      <c r="F18" s="24">
        <f ca="1">TODAY()-E18</f>
        <v>29</v>
      </c>
      <c r="G18" s="88">
        <f ca="1">TODAY()-DATE(2026,10,13)</f>
        <v>16</v>
      </c>
      <c r="H18" s="89"/>
      <c r="I18" s="89"/>
      <c r="J18" s="89"/>
      <c r="K18" s="89"/>
      <c r="L18" s="89"/>
      <c r="M18" s="24">
        <v>48</v>
      </c>
      <c r="N18" s="88">
        <v>550</v>
      </c>
      <c r="O18" s="96" t="s">
        <v>226</v>
      </c>
      <c r="P18" s="95" t="s">
        <v>146</v>
      </c>
      <c r="Q18" s="133"/>
      <c r="R18" s="89"/>
      <c r="S18" s="89" t="s">
        <v>165</v>
      </c>
      <c r="T18" s="158"/>
    </row>
    <row r="19" spans="1:20" ht="60">
      <c r="A19" s="36">
        <f t="shared" si="3"/>
        <v>18</v>
      </c>
      <c r="B19" s="71" t="s">
        <v>94</v>
      </c>
      <c r="C19" s="179" t="s">
        <v>98</v>
      </c>
      <c r="D19" s="3" t="s">
        <v>19</v>
      </c>
      <c r="E19" s="26">
        <v>46295</v>
      </c>
      <c r="F19" s="3">
        <f t="shared" ref="F19" ca="1" si="4">TODAY()-E19</f>
        <v>29</v>
      </c>
      <c r="G19" s="88">
        <f ca="1">TODAY()-DATE(2026,10,12)</f>
        <v>17</v>
      </c>
      <c r="H19" s="89"/>
      <c r="I19" s="89"/>
      <c r="J19" s="89"/>
      <c r="K19" s="89"/>
      <c r="L19" s="89"/>
      <c r="M19" s="24">
        <v>40</v>
      </c>
      <c r="N19" s="88">
        <v>450</v>
      </c>
      <c r="O19" s="96" t="s">
        <v>227</v>
      </c>
      <c r="P19" s="95"/>
      <c r="Q19" s="133" t="s">
        <v>152</v>
      </c>
      <c r="R19" s="89"/>
      <c r="S19" s="89" t="s">
        <v>151</v>
      </c>
      <c r="T19" s="158"/>
    </row>
    <row r="20" spans="1:20" ht="127">
      <c r="A20" s="36">
        <f t="shared" si="3"/>
        <v>19</v>
      </c>
      <c r="B20" s="71" t="s">
        <v>99</v>
      </c>
      <c r="C20" s="25" t="s">
        <v>119</v>
      </c>
      <c r="D20" s="3" t="s">
        <v>19</v>
      </c>
      <c r="E20" s="26">
        <v>46307</v>
      </c>
      <c r="F20" s="3">
        <f ca="1">TODAY()-E20</f>
        <v>17</v>
      </c>
      <c r="G20" s="88">
        <f ca="1">TODAY()-DATE(2026,10,28)</f>
        <v>1</v>
      </c>
      <c r="H20" s="89"/>
      <c r="I20" s="89"/>
      <c r="J20" s="89"/>
      <c r="K20" s="89"/>
      <c r="L20" s="89"/>
      <c r="M20" s="24">
        <v>31</v>
      </c>
      <c r="N20" s="88">
        <v>350</v>
      </c>
      <c r="O20" s="96" t="s">
        <v>241</v>
      </c>
      <c r="P20" s="95" t="s">
        <v>242</v>
      </c>
      <c r="Q20" s="133" t="s">
        <v>240</v>
      </c>
      <c r="R20" s="89" t="s">
        <v>243</v>
      </c>
      <c r="S20" s="89" t="s">
        <v>151</v>
      </c>
      <c r="T20" s="158"/>
    </row>
    <row r="21" spans="1:20" ht="60">
      <c r="A21" s="36">
        <f t="shared" si="3"/>
        <v>20</v>
      </c>
      <c r="B21" s="71" t="s">
        <v>109</v>
      </c>
      <c r="C21" s="25" t="s">
        <v>110</v>
      </c>
      <c r="D21" s="3" t="s">
        <v>19</v>
      </c>
      <c r="E21" s="26">
        <v>46307</v>
      </c>
      <c r="F21" s="91">
        <f ca="1">TODAY()-E21</f>
        <v>17</v>
      </c>
      <c r="G21" s="88">
        <f ca="1">TODAY()-DATE(2026,10,19)</f>
        <v>10</v>
      </c>
      <c r="H21" s="152"/>
      <c r="I21" s="152"/>
      <c r="J21" s="152"/>
      <c r="K21" s="89"/>
      <c r="L21" s="89"/>
      <c r="M21" s="24">
        <v>28</v>
      </c>
      <c r="N21" s="88">
        <v>500</v>
      </c>
      <c r="O21" s="96" t="s">
        <v>168</v>
      </c>
      <c r="P21" s="95"/>
      <c r="Q21" s="137"/>
      <c r="R21" s="89"/>
      <c r="S21" s="89" t="s">
        <v>151</v>
      </c>
      <c r="T21" s="158"/>
    </row>
    <row r="22" spans="1:20" ht="60">
      <c r="A22" s="36">
        <f t="shared" si="3"/>
        <v>21</v>
      </c>
      <c r="B22" s="71" t="s">
        <v>92</v>
      </c>
      <c r="C22" s="179" t="s">
        <v>93</v>
      </c>
      <c r="D22" s="3" t="s">
        <v>19</v>
      </c>
      <c r="E22" s="4">
        <v>46302</v>
      </c>
      <c r="F22" s="153">
        <f ca="1">TODAY()-E22</f>
        <v>22</v>
      </c>
      <c r="G22" s="88" t="str">
        <f ca="1">TRIM(TODAY()-DATE(2026,10,19))</f>
        <v>10</v>
      </c>
      <c r="H22" s="152"/>
      <c r="I22" s="152"/>
      <c r="J22" s="89"/>
      <c r="K22" s="89"/>
      <c r="L22" s="89"/>
      <c r="M22" s="24">
        <v>36</v>
      </c>
      <c r="N22" s="88">
        <v>450</v>
      </c>
      <c r="O22" s="96" t="s">
        <v>211</v>
      </c>
      <c r="P22" s="95"/>
      <c r="Q22" s="137"/>
      <c r="R22" s="89"/>
      <c r="S22" s="89"/>
      <c r="T22" s="158"/>
    </row>
    <row r="23" spans="1:20" ht="60">
      <c r="A23" s="36">
        <f t="shared" si="3"/>
        <v>22</v>
      </c>
      <c r="B23" s="154" t="s">
        <v>112</v>
      </c>
      <c r="C23" s="25" t="s">
        <v>113</v>
      </c>
      <c r="D23" s="3" t="s">
        <v>19</v>
      </c>
      <c r="E23" s="131">
        <v>46309</v>
      </c>
      <c r="F23" s="153">
        <f ca="1">TODAY()-E23</f>
        <v>15</v>
      </c>
      <c r="G23" s="88">
        <f ca="1">TODAY()-DATE(2026,10,22)</f>
        <v>7</v>
      </c>
      <c r="H23" s="89"/>
      <c r="I23" s="89"/>
      <c r="J23" s="89"/>
      <c r="K23" s="89"/>
      <c r="L23" s="89"/>
      <c r="M23" s="24">
        <v>42</v>
      </c>
      <c r="N23" s="88">
        <v>500</v>
      </c>
      <c r="O23" s="96" t="s">
        <v>186</v>
      </c>
      <c r="P23" s="95"/>
      <c r="Q23" s="133"/>
      <c r="R23" s="89"/>
      <c r="S23" s="89" t="s">
        <v>151</v>
      </c>
      <c r="T23" s="158"/>
    </row>
    <row r="24" spans="1:20" ht="60">
      <c r="A24" s="36">
        <f t="shared" si="3"/>
        <v>23</v>
      </c>
      <c r="B24" s="154" t="s">
        <v>122</v>
      </c>
      <c r="C24" s="25" t="s">
        <v>123</v>
      </c>
      <c r="D24" s="3" t="s">
        <v>19</v>
      </c>
      <c r="E24" s="131">
        <v>46312</v>
      </c>
      <c r="F24" s="153">
        <f ca="1">TODAY()-E24</f>
        <v>12</v>
      </c>
      <c r="G24" s="88">
        <f ca="1">TODAY()-DATE(2026,10,22)</f>
        <v>7</v>
      </c>
      <c r="H24" s="89"/>
      <c r="I24" s="89"/>
      <c r="J24" s="89"/>
      <c r="K24" s="89"/>
      <c r="L24" s="89"/>
      <c r="M24" s="88">
        <v>23</v>
      </c>
      <c r="N24" s="88">
        <v>350</v>
      </c>
      <c r="O24" s="96" t="s">
        <v>182</v>
      </c>
      <c r="P24" s="95"/>
      <c r="Q24" s="133"/>
      <c r="R24" s="89"/>
      <c r="S24" s="89" t="s">
        <v>151</v>
      </c>
      <c r="T24" s="158"/>
    </row>
    <row r="25" spans="1:20" ht="60">
      <c r="A25" s="36">
        <f t="shared" si="3"/>
        <v>24</v>
      </c>
      <c r="B25" s="155" t="s">
        <v>139</v>
      </c>
      <c r="C25" s="25" t="s">
        <v>172</v>
      </c>
      <c r="D25" s="3" t="s">
        <v>19</v>
      </c>
      <c r="E25" s="131">
        <v>46312</v>
      </c>
      <c r="F25" s="153">
        <f t="shared" ref="F25" ca="1" si="5">TODAY()-E25</f>
        <v>12</v>
      </c>
      <c r="G25" s="88">
        <f ca="1">TODAY()-DATE(2026,10,27)</f>
        <v>2</v>
      </c>
      <c r="H25" s="89"/>
      <c r="I25" s="89"/>
      <c r="J25" s="89"/>
      <c r="K25" s="89"/>
      <c r="L25" s="89"/>
      <c r="M25" s="24">
        <v>56</v>
      </c>
      <c r="N25" s="88">
        <v>300</v>
      </c>
      <c r="O25" s="96" t="s">
        <v>228</v>
      </c>
      <c r="P25" s="95" t="s">
        <v>244</v>
      </c>
      <c r="Q25" s="138"/>
      <c r="R25" s="89"/>
      <c r="S25" s="89" t="s">
        <v>150</v>
      </c>
      <c r="T25" s="158"/>
    </row>
    <row r="26" spans="1:20" ht="60">
      <c r="A26" s="36">
        <f t="shared" si="3"/>
        <v>25</v>
      </c>
      <c r="B26" s="103" t="s">
        <v>142</v>
      </c>
      <c r="C26" s="25" t="s">
        <v>143</v>
      </c>
      <c r="D26" s="3" t="s">
        <v>19</v>
      </c>
      <c r="E26" s="131">
        <v>46316</v>
      </c>
      <c r="F26" s="153">
        <f t="shared" ref="F26:F34" ca="1" si="6">TODAY()-E26</f>
        <v>8</v>
      </c>
      <c r="G26" s="88" t="str">
        <f ca="1">TRIM(TODAY()-DATE(2026,10,26))</f>
        <v>3</v>
      </c>
      <c r="H26" s="89"/>
      <c r="I26" s="89"/>
      <c r="J26" s="89"/>
      <c r="K26" s="89"/>
      <c r="L26" s="102"/>
      <c r="M26" s="24">
        <f>8+109</f>
        <v>117</v>
      </c>
      <c r="N26" s="88">
        <v>350</v>
      </c>
      <c r="O26" s="96" t="s">
        <v>246</v>
      </c>
      <c r="P26" s="94"/>
      <c r="Q26" s="138"/>
      <c r="R26" s="89"/>
      <c r="S26" s="89" t="s">
        <v>151</v>
      </c>
      <c r="T26" s="158"/>
    </row>
    <row r="27" spans="1:20" ht="60">
      <c r="A27" s="36">
        <f t="shared" si="3"/>
        <v>26</v>
      </c>
      <c r="B27" s="103" t="s">
        <v>144</v>
      </c>
      <c r="C27" s="25" t="s">
        <v>145</v>
      </c>
      <c r="D27" s="3" t="s">
        <v>19</v>
      </c>
      <c r="E27" s="131">
        <v>46316</v>
      </c>
      <c r="F27" s="153">
        <f t="shared" ca="1" si="6"/>
        <v>8</v>
      </c>
      <c r="G27" s="88">
        <f ca="1">TODAY()-DATE(2026,10,25)</f>
        <v>4</v>
      </c>
      <c r="H27" s="152"/>
      <c r="I27" s="152"/>
      <c r="J27" s="89"/>
      <c r="K27" s="89"/>
      <c r="L27" s="102"/>
      <c r="M27" s="24">
        <v>69</v>
      </c>
      <c r="N27" s="88">
        <v>400</v>
      </c>
      <c r="O27" s="96" t="s">
        <v>194</v>
      </c>
      <c r="P27" s="95"/>
      <c r="Q27" s="138"/>
      <c r="R27" s="89"/>
      <c r="S27" s="89" t="s">
        <v>150</v>
      </c>
      <c r="T27" s="158"/>
    </row>
    <row r="28" spans="1:20" ht="60">
      <c r="A28" s="36">
        <f t="shared" si="3"/>
        <v>27</v>
      </c>
      <c r="B28" s="103" t="s">
        <v>149</v>
      </c>
      <c r="C28" s="25" t="s">
        <v>173</v>
      </c>
      <c r="D28" s="3" t="s">
        <v>19</v>
      </c>
      <c r="E28" s="131">
        <v>46312</v>
      </c>
      <c r="F28" s="153">
        <f t="shared" ca="1" si="6"/>
        <v>12</v>
      </c>
      <c r="G28" s="88">
        <f ca="1">TODAY()-DATE(2026,10,22)</f>
        <v>7</v>
      </c>
      <c r="H28" s="152"/>
      <c r="I28" s="176"/>
      <c r="J28" s="152"/>
      <c r="K28" s="176"/>
      <c r="L28" s="176"/>
      <c r="M28" s="24">
        <v>33</v>
      </c>
      <c r="N28" s="88">
        <v>450</v>
      </c>
      <c r="O28" s="96" t="s">
        <v>247</v>
      </c>
      <c r="P28" s="94"/>
      <c r="Q28" s="138"/>
      <c r="R28" s="89"/>
      <c r="S28" s="89" t="s">
        <v>151</v>
      </c>
      <c r="T28" s="158"/>
    </row>
    <row r="29" spans="1:20">
      <c r="A29" s="24">
        <f t="shared" si="3"/>
        <v>28</v>
      </c>
      <c r="B29" s="103" t="s">
        <v>174</v>
      </c>
      <c r="C29" s="25" t="s">
        <v>175</v>
      </c>
      <c r="D29" s="3" t="s">
        <v>214</v>
      </c>
      <c r="E29" s="131">
        <v>46323</v>
      </c>
      <c r="F29" s="153">
        <f t="shared" ca="1" si="6"/>
        <v>1</v>
      </c>
      <c r="G29" s="88"/>
      <c r="H29" s="89"/>
      <c r="I29" s="102"/>
      <c r="J29" s="102"/>
      <c r="K29" s="102"/>
      <c r="L29" s="102"/>
      <c r="M29" s="24">
        <v>21</v>
      </c>
      <c r="N29" s="90">
        <v>150</v>
      </c>
      <c r="O29" s="94"/>
      <c r="P29" s="94"/>
      <c r="Q29" s="94"/>
      <c r="R29" s="89"/>
      <c r="S29" s="89" t="s">
        <v>151</v>
      </c>
      <c r="T29" s="158"/>
    </row>
    <row r="30" spans="1:20">
      <c r="A30" s="24">
        <f t="shared" si="3"/>
        <v>29</v>
      </c>
      <c r="B30" s="177" t="s">
        <v>187</v>
      </c>
      <c r="C30" s="177" t="s">
        <v>195</v>
      </c>
      <c r="D30" s="3" t="s">
        <v>214</v>
      </c>
      <c r="E30" s="131">
        <v>46321</v>
      </c>
      <c r="F30" s="153">
        <f t="shared" ca="1" si="6"/>
        <v>3</v>
      </c>
      <c r="G30" s="88"/>
      <c r="H30" s="89"/>
      <c r="I30" s="102"/>
      <c r="J30" s="102"/>
      <c r="K30" s="102"/>
      <c r="L30" s="102"/>
      <c r="M30" s="24">
        <v>12</v>
      </c>
      <c r="N30" s="90">
        <v>150</v>
      </c>
      <c r="O30" s="94"/>
      <c r="P30" s="94"/>
      <c r="Q30" s="94"/>
      <c r="R30" s="89"/>
      <c r="S30" s="89" t="s">
        <v>151</v>
      </c>
      <c r="T30" s="158"/>
    </row>
    <row r="31" spans="1:20" ht="29">
      <c r="A31" s="24">
        <f t="shared" si="3"/>
        <v>30</v>
      </c>
      <c r="B31" s="177" t="s">
        <v>188</v>
      </c>
      <c r="C31" s="177" t="s">
        <v>196</v>
      </c>
      <c r="D31" s="3" t="s">
        <v>19</v>
      </c>
      <c r="E31" s="131">
        <v>46322</v>
      </c>
      <c r="F31" s="153">
        <f t="shared" ca="1" si="6"/>
        <v>2</v>
      </c>
      <c r="G31" s="88">
        <f ca="1">TODAY()-DATE(2026,10,29)</f>
        <v>0</v>
      </c>
      <c r="H31" s="89"/>
      <c r="I31" s="102"/>
      <c r="J31" s="102"/>
      <c r="K31" s="102"/>
      <c r="L31" s="102"/>
      <c r="M31" s="24">
        <v>26</v>
      </c>
      <c r="N31" s="90">
        <v>450</v>
      </c>
      <c r="O31" s="94"/>
      <c r="P31" s="94"/>
      <c r="Q31" s="94"/>
      <c r="R31" s="89"/>
      <c r="S31" s="89" t="s">
        <v>151</v>
      </c>
      <c r="T31" s="158"/>
    </row>
    <row r="32" spans="1:20" ht="28">
      <c r="A32" s="24">
        <f t="shared" si="3"/>
        <v>31</v>
      </c>
      <c r="B32" s="160" t="s">
        <v>199</v>
      </c>
      <c r="C32" s="25" t="s">
        <v>229</v>
      </c>
      <c r="D32" s="3" t="s">
        <v>214</v>
      </c>
      <c r="E32" s="131">
        <v>46322</v>
      </c>
      <c r="F32" s="153">
        <f t="shared" ca="1" si="6"/>
        <v>2</v>
      </c>
      <c r="G32" s="88"/>
      <c r="H32" s="89"/>
      <c r="I32" s="102"/>
      <c r="J32" s="102"/>
      <c r="K32" s="102"/>
      <c r="L32" s="102"/>
      <c r="M32" s="24">
        <v>16</v>
      </c>
      <c r="N32" s="90">
        <v>200</v>
      </c>
      <c r="O32" s="158"/>
      <c r="P32" s="158"/>
      <c r="Q32" s="158"/>
      <c r="R32" s="89"/>
      <c r="S32" s="89" t="s">
        <v>151</v>
      </c>
      <c r="T32" s="158"/>
    </row>
    <row r="33" spans="1:20">
      <c r="A33" s="24">
        <f t="shared" si="3"/>
        <v>32</v>
      </c>
      <c r="B33" s="178" t="s">
        <v>197</v>
      </c>
      <c r="C33" s="178" t="s">
        <v>198</v>
      </c>
      <c r="D33" s="3" t="s">
        <v>24</v>
      </c>
      <c r="E33" s="131">
        <v>46323</v>
      </c>
      <c r="F33" s="153">
        <f t="shared" ca="1" si="6"/>
        <v>1</v>
      </c>
      <c r="G33" s="88"/>
      <c r="H33" s="89"/>
      <c r="I33" s="102"/>
      <c r="J33" s="102"/>
      <c r="K33" s="102"/>
      <c r="L33" s="102"/>
      <c r="M33" s="24">
        <v>17</v>
      </c>
      <c r="N33" s="90">
        <v>600</v>
      </c>
      <c r="O33" s="158"/>
      <c r="P33" s="158"/>
      <c r="Q33" s="158"/>
      <c r="R33" s="89"/>
      <c r="S33" s="89" t="s">
        <v>237</v>
      </c>
      <c r="T33" s="158" t="s">
        <v>218</v>
      </c>
    </row>
    <row r="34" spans="1:20">
      <c r="A34" s="24">
        <f t="shared" si="3"/>
        <v>33</v>
      </c>
      <c r="B34" s="160" t="s">
        <v>212</v>
      </c>
      <c r="C34" s="25" t="s">
        <v>213</v>
      </c>
      <c r="D34" s="3" t="s">
        <v>24</v>
      </c>
      <c r="E34" s="131">
        <v>46323</v>
      </c>
      <c r="F34" s="153">
        <f t="shared" ca="1" si="6"/>
        <v>1</v>
      </c>
      <c r="G34" s="88"/>
      <c r="H34" s="89"/>
      <c r="I34" s="102"/>
      <c r="J34" s="102"/>
      <c r="K34" s="102"/>
      <c r="L34" s="102"/>
      <c r="M34" s="24">
        <v>74</v>
      </c>
      <c r="N34" s="90">
        <v>700</v>
      </c>
      <c r="O34" s="158"/>
      <c r="P34" s="158"/>
      <c r="Q34" s="158"/>
      <c r="R34" s="89"/>
      <c r="S34" s="89" t="s">
        <v>237</v>
      </c>
      <c r="T34" s="158" t="s">
        <v>218</v>
      </c>
    </row>
    <row r="35" spans="1:20">
      <c r="A35" s="24">
        <v>35</v>
      </c>
      <c r="B35" s="160" t="s">
        <v>230</v>
      </c>
      <c r="C35" s="25" t="s">
        <v>231</v>
      </c>
      <c r="D35" s="3" t="s">
        <v>24</v>
      </c>
      <c r="E35" s="88"/>
      <c r="F35" s="152"/>
      <c r="G35" s="88"/>
      <c r="H35" s="89"/>
      <c r="I35" s="102"/>
      <c r="J35" s="102"/>
      <c r="K35" s="102"/>
      <c r="L35" s="102"/>
      <c r="M35" s="24"/>
      <c r="N35" s="90"/>
      <c r="O35" s="158"/>
      <c r="P35" s="158"/>
      <c r="Q35" s="158"/>
      <c r="R35" s="89"/>
      <c r="S35" s="89"/>
      <c r="T35" s="158"/>
    </row>
    <row r="36" spans="1:20">
      <c r="R36" s="159"/>
      <c r="S36" s="15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19"/>
  <sheetViews>
    <sheetView tabSelected="1" zoomScale="99" workbookViewId="0">
      <pane ySplit="1" topLeftCell="A18" activePane="bottomLeft" state="frozen"/>
      <selection activeCell="D1" sqref="D1"/>
      <selection pane="bottomLeft" activeCell="D19" sqref="D19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43" customWidth="1"/>
    <col min="7" max="7" width="16.26953125" style="43" customWidth="1"/>
    <col min="8" max="8" width="7.54296875" style="43" customWidth="1"/>
    <col min="9" max="9" width="8.1796875" style="43" customWidth="1"/>
    <col min="10" max="10" width="8.453125" style="43" customWidth="1"/>
    <col min="11" max="11" width="8.1796875" style="43" customWidth="1"/>
    <col min="12" max="12" width="8.36328125" style="43" customWidth="1"/>
    <col min="13" max="13" width="8.7265625" style="43" customWidth="1"/>
    <col min="14" max="14" width="7.6328125" style="43" customWidth="1"/>
    <col min="15" max="15" width="7.54296875" style="43" customWidth="1"/>
    <col min="16" max="16" width="19.81640625" customWidth="1"/>
    <col min="17" max="17" width="7.90625" customWidth="1"/>
    <col min="18" max="18" width="17.54296875" style="43" bestFit="1" customWidth="1"/>
    <col min="19" max="19" width="9" hidden="1" customWidth="1"/>
  </cols>
  <sheetData>
    <row r="1" spans="1:19" s="6" customFormat="1" ht="26">
      <c r="A1" s="11" t="s">
        <v>0</v>
      </c>
      <c r="B1" s="14" t="s">
        <v>1</v>
      </c>
      <c r="C1" s="14" t="s">
        <v>2</v>
      </c>
      <c r="D1" s="14" t="s">
        <v>3</v>
      </c>
      <c r="E1" s="119" t="s">
        <v>4</v>
      </c>
      <c r="F1" s="120" t="s">
        <v>107</v>
      </c>
      <c r="G1" s="120" t="s">
        <v>108</v>
      </c>
      <c r="H1" s="120" t="s">
        <v>42</v>
      </c>
      <c r="I1" s="120" t="s">
        <v>43</v>
      </c>
      <c r="J1" s="120" t="s">
        <v>44</v>
      </c>
      <c r="K1" s="120" t="s">
        <v>45</v>
      </c>
      <c r="L1" s="119" t="s">
        <v>46</v>
      </c>
      <c r="M1" s="120" t="s">
        <v>47</v>
      </c>
      <c r="N1" s="120" t="s">
        <v>180</v>
      </c>
      <c r="O1" s="120" t="s">
        <v>48</v>
      </c>
      <c r="P1" s="14" t="s">
        <v>49</v>
      </c>
      <c r="Q1" s="14" t="s">
        <v>51</v>
      </c>
      <c r="R1" s="15" t="s">
        <v>102</v>
      </c>
      <c r="S1" s="15" t="s">
        <v>250</v>
      </c>
    </row>
    <row r="2" spans="1:19" s="6" customFormat="1" ht="60" hidden="1">
      <c r="A2" s="1">
        <v>1</v>
      </c>
      <c r="B2" s="31" t="s">
        <v>67</v>
      </c>
      <c r="C2" s="31" t="s">
        <v>68</v>
      </c>
      <c r="D2" s="2" t="s">
        <v>39</v>
      </c>
      <c r="E2" s="8">
        <v>46202</v>
      </c>
      <c r="F2" s="9">
        <v>63</v>
      </c>
      <c r="G2" s="9">
        <v>32</v>
      </c>
      <c r="H2" s="9">
        <v>11</v>
      </c>
      <c r="I2" s="9">
        <v>3</v>
      </c>
      <c r="J2" s="9">
        <v>6</v>
      </c>
      <c r="K2" s="9">
        <v>6</v>
      </c>
      <c r="L2" s="9">
        <v>5</v>
      </c>
      <c r="M2" s="9">
        <v>6</v>
      </c>
      <c r="N2" s="9">
        <v>184</v>
      </c>
      <c r="O2" s="9">
        <f>372+13</f>
        <v>385</v>
      </c>
      <c r="P2" s="27" t="s">
        <v>69</v>
      </c>
      <c r="Q2" s="27"/>
      <c r="R2" s="44">
        <v>46265</v>
      </c>
      <c r="S2" s="48"/>
    </row>
    <row r="3" spans="1:19" ht="60" hidden="1">
      <c r="A3" s="1">
        <v>2</v>
      </c>
      <c r="B3" s="31" t="s">
        <v>70</v>
      </c>
      <c r="C3" s="31" t="s">
        <v>71</v>
      </c>
      <c r="D3" s="2" t="s">
        <v>39</v>
      </c>
      <c r="E3" s="8">
        <v>46209</v>
      </c>
      <c r="F3" s="9">
        <v>62</v>
      </c>
      <c r="G3" s="9">
        <f>DATE(2026,8,1)-DATE(2026,7,8)</f>
        <v>24</v>
      </c>
      <c r="H3" s="9">
        <f>DATE(2026,8,15)-DATE(2026,8,1)</f>
        <v>14</v>
      </c>
      <c r="I3" s="9">
        <f>DATE(2026,8,21)-DATE(2026,8,20)</f>
        <v>1</v>
      </c>
      <c r="J3" s="9">
        <f>DATE(2026,8,24)-DATE(2026,8,21)</f>
        <v>3</v>
      </c>
      <c r="K3" s="9">
        <f>DATE(2026,8,31)-DATE(2026,8,24)</f>
        <v>7</v>
      </c>
      <c r="L3" s="9">
        <f>DATE(2026,9,7)-DATE(2026,8,31)</f>
        <v>7</v>
      </c>
      <c r="M3" s="9">
        <v>44</v>
      </c>
      <c r="N3" s="9">
        <v>569</v>
      </c>
      <c r="O3" s="9">
        <f>572+15</f>
        <v>587</v>
      </c>
      <c r="P3" s="27" t="s">
        <v>72</v>
      </c>
      <c r="Q3" s="27"/>
      <c r="R3" s="45">
        <v>46272</v>
      </c>
      <c r="S3" s="48"/>
    </row>
    <row r="4" spans="1:19" ht="60" hidden="1">
      <c r="A4" s="1">
        <v>3</v>
      </c>
      <c r="B4" s="31" t="s">
        <v>73</v>
      </c>
      <c r="C4" s="31" t="s">
        <v>74</v>
      </c>
      <c r="D4" s="2" t="s">
        <v>39</v>
      </c>
      <c r="E4" s="8">
        <v>46195</v>
      </c>
      <c r="F4" s="9">
        <v>83</v>
      </c>
      <c r="G4" s="9">
        <f>DATE(2026,7,25)-DATE(2026,6,22)</f>
        <v>33</v>
      </c>
      <c r="H4" s="9">
        <f>DATE(2026,8,7)-DATE(2026,7,25)</f>
        <v>13</v>
      </c>
      <c r="I4" s="9">
        <f>DATE(2026,8,12)-DATE(2026,8,7)</f>
        <v>5</v>
      </c>
      <c r="J4" s="9">
        <f>DATE(2026,8,25)-DATE(2026,8,12)</f>
        <v>13</v>
      </c>
      <c r="K4" s="9">
        <f>DATE(2026,9,4)-DATE(2026,8,25)</f>
        <v>10</v>
      </c>
      <c r="L4" s="9">
        <f>DATE(2026,9,12)-DATE(2026,9,4)</f>
        <v>8</v>
      </c>
      <c r="M4" s="9">
        <v>66</v>
      </c>
      <c r="N4" s="9">
        <v>717</v>
      </c>
      <c r="O4" s="9">
        <v>719</v>
      </c>
      <c r="P4" s="27" t="s">
        <v>75</v>
      </c>
      <c r="Q4" s="27"/>
      <c r="R4" s="45">
        <v>46277</v>
      </c>
      <c r="S4" s="34"/>
    </row>
    <row r="5" spans="1:19" ht="60" hidden="1">
      <c r="A5" s="1">
        <v>4</v>
      </c>
      <c r="B5" s="31" t="s">
        <v>76</v>
      </c>
      <c r="C5" s="31" t="s">
        <v>77</v>
      </c>
      <c r="D5" s="2" t="s">
        <v>39</v>
      </c>
      <c r="E5" s="8">
        <v>46196</v>
      </c>
      <c r="F5" s="9">
        <v>81</v>
      </c>
      <c r="G5" s="9">
        <f>DATE(2026,7,30)-DATE(2026,6,24)</f>
        <v>36</v>
      </c>
      <c r="H5" s="9">
        <f>DATE(2026,8,11)-DATE(2026,7,30)</f>
        <v>12</v>
      </c>
      <c r="I5" s="9">
        <f>DATE(2026,8,19)-DATE(2026,8,11)</f>
        <v>8</v>
      </c>
      <c r="J5" s="9">
        <f>DATE(2026,8,24)-DATE(2026,8,19)</f>
        <v>5</v>
      </c>
      <c r="K5" s="9">
        <f>DATE(2026,9,4)-DATE(2026,8,24)</f>
        <v>11</v>
      </c>
      <c r="L5" s="9">
        <f>DATE(2026,9,13)-DATE(2026,9,4)</f>
        <v>9</v>
      </c>
      <c r="M5" s="9">
        <v>74</v>
      </c>
      <c r="N5" s="9">
        <v>826</v>
      </c>
      <c r="O5" s="9">
        <f>826+21</f>
        <v>847</v>
      </c>
      <c r="P5" s="27" t="s">
        <v>78</v>
      </c>
      <c r="Q5" s="27"/>
      <c r="R5" s="45">
        <v>46278</v>
      </c>
      <c r="S5" s="34"/>
    </row>
    <row r="6" spans="1:19" ht="60" hidden="1">
      <c r="A6" s="1">
        <v>5</v>
      </c>
      <c r="B6" s="31" t="s">
        <v>79</v>
      </c>
      <c r="C6" s="31" t="s">
        <v>80</v>
      </c>
      <c r="D6" s="2" t="s">
        <v>39</v>
      </c>
      <c r="E6" s="8">
        <v>46195</v>
      </c>
      <c r="F6" s="9">
        <v>85</v>
      </c>
      <c r="G6" s="9">
        <f>DATE(2026,7,29)-DATE(2026,6,22)</f>
        <v>37</v>
      </c>
      <c r="H6" s="9">
        <f>DATE(2026,8,11)-DATE(2026,7,29)</f>
        <v>13</v>
      </c>
      <c r="I6" s="9">
        <f>DATE(2026,8,14)-DATE(2026,8,11)</f>
        <v>3</v>
      </c>
      <c r="J6" s="9">
        <f>DATE(2026,8,24)-DATE(2026,8,14)</f>
        <v>10</v>
      </c>
      <c r="K6" s="9">
        <f>DATE(2026,9,4)-DATE(2026,8,24)</f>
        <v>11</v>
      </c>
      <c r="L6" s="9">
        <f>DATE(2026,9,15)-DATE(2026,9,4)</f>
        <v>11</v>
      </c>
      <c r="M6" s="9">
        <v>65</v>
      </c>
      <c r="N6" s="9">
        <v>802</v>
      </c>
      <c r="O6" s="9">
        <f>766+19</f>
        <v>785</v>
      </c>
      <c r="P6" s="27" t="s">
        <v>81</v>
      </c>
      <c r="Q6" s="27"/>
      <c r="R6" s="45">
        <v>46280</v>
      </c>
      <c r="S6" s="34"/>
    </row>
    <row r="7" spans="1:19" s="18" customFormat="1" ht="60" hidden="1">
      <c r="A7" s="19">
        <v>6</v>
      </c>
      <c r="B7" s="31" t="s">
        <v>9</v>
      </c>
      <c r="C7" s="22" t="s">
        <v>10</v>
      </c>
      <c r="D7" s="16" t="s">
        <v>39</v>
      </c>
      <c r="E7" s="8">
        <v>46234</v>
      </c>
      <c r="F7" s="23">
        <v>52</v>
      </c>
      <c r="G7" s="32">
        <f>DATE(2026,8,24)-DATE(2026,7,31)</f>
        <v>24</v>
      </c>
      <c r="H7" s="32">
        <f>DATE(2026,9,5)-DATE(2026,8,24)</f>
        <v>12</v>
      </c>
      <c r="I7" s="32">
        <f>DATE(2026,9,9)-DATE(2026,9,5)</f>
        <v>4</v>
      </c>
      <c r="J7" s="32">
        <f>DATE(2026,9,14)-DATE(2026,9,8)</f>
        <v>6</v>
      </c>
      <c r="K7" s="32">
        <f>DATE(2026,9,17)-DATE(2026,9,14)</f>
        <v>3</v>
      </c>
      <c r="L7" s="32">
        <f>DATE(2026,9,19)-DATE(2026,9,17)</f>
        <v>2</v>
      </c>
      <c r="M7" s="23">
        <v>10</v>
      </c>
      <c r="N7" s="9">
        <v>250</v>
      </c>
      <c r="O7" s="9">
        <f>218+7</f>
        <v>225</v>
      </c>
      <c r="P7" s="27" t="s">
        <v>55</v>
      </c>
      <c r="Q7" s="27"/>
      <c r="R7" s="45">
        <v>46286</v>
      </c>
      <c r="S7" s="17"/>
    </row>
    <row r="8" spans="1:19" s="18" customFormat="1" ht="69" hidden="1" customHeight="1" thickBot="1">
      <c r="A8" s="19">
        <v>7</v>
      </c>
      <c r="B8" s="21" t="s">
        <v>8</v>
      </c>
      <c r="C8" s="22" t="s">
        <v>106</v>
      </c>
      <c r="D8" s="16" t="s">
        <v>39</v>
      </c>
      <c r="E8" s="8">
        <v>46230</v>
      </c>
      <c r="F8" s="23">
        <v>58</v>
      </c>
      <c r="G8" s="20">
        <f>DATE(2026,8,17)-DATE(2026,7,27)</f>
        <v>21</v>
      </c>
      <c r="H8" s="20">
        <f>DATE(2026,8,25)-DATE(2026,8,17)</f>
        <v>8</v>
      </c>
      <c r="I8" s="20">
        <f>DATE(2026,9,8)-DATE(2026,8,27)</f>
        <v>12</v>
      </c>
      <c r="J8" s="20">
        <f>DATE(2026,9,14)-DATE(2026,9,8)</f>
        <v>6</v>
      </c>
      <c r="K8" s="20">
        <f>DATE(2026,9,23)-DATE(2026,9,14)</f>
        <v>9</v>
      </c>
      <c r="L8" s="20">
        <f>DATE(2026,9,22)-DATE(2026,9,20)</f>
        <v>2</v>
      </c>
      <c r="M8" s="23">
        <v>21</v>
      </c>
      <c r="N8" s="9">
        <v>780</v>
      </c>
      <c r="O8" s="9">
        <f>372+13</f>
        <v>385</v>
      </c>
      <c r="P8" s="27" t="s">
        <v>54</v>
      </c>
      <c r="Q8" s="27"/>
      <c r="R8" s="45">
        <v>46288</v>
      </c>
      <c r="S8" s="49" t="s">
        <v>82</v>
      </c>
    </row>
    <row r="9" spans="1:19" ht="60" hidden="1">
      <c r="A9" s="19">
        <f t="shared" ref="A9:A19" si="0">ROW()-1</f>
        <v>8</v>
      </c>
      <c r="B9" s="22" t="s">
        <v>12</v>
      </c>
      <c r="C9" s="22" t="s">
        <v>178</v>
      </c>
      <c r="D9" s="22" t="s">
        <v>39</v>
      </c>
      <c r="E9" s="8">
        <v>46244</v>
      </c>
      <c r="F9" s="75">
        <v>47</v>
      </c>
      <c r="G9" s="75">
        <f>DATE(2026,8,31)-DATE(2026,8,12)</f>
        <v>19</v>
      </c>
      <c r="H9" s="75">
        <f>DATE(2026,9,14)-DATE(2026,8,31)</f>
        <v>14</v>
      </c>
      <c r="I9" s="75">
        <f>DATE(2026,9,15)-DATE(2026,9,14)</f>
        <v>1</v>
      </c>
      <c r="J9" s="75">
        <f>DATE(2026,9,22)-DATE(2026,9,16)</f>
        <v>6</v>
      </c>
      <c r="K9" s="75">
        <f>DATE(2026,9,23)-DATE(2026,9,22)</f>
        <v>1</v>
      </c>
      <c r="L9" s="75">
        <f>DATE(2026,9,23)-DATE(2026,9,17)</f>
        <v>6</v>
      </c>
      <c r="M9" s="75">
        <v>64</v>
      </c>
      <c r="N9" s="9">
        <v>700</v>
      </c>
      <c r="O9" s="9">
        <f>696+23</f>
        <v>719</v>
      </c>
      <c r="P9" s="27" t="s">
        <v>58</v>
      </c>
      <c r="Q9" s="28"/>
      <c r="R9" s="46">
        <v>46291</v>
      </c>
      <c r="S9" s="17" t="s">
        <v>57</v>
      </c>
    </row>
    <row r="10" spans="1:19" s="18" customFormat="1" ht="60" hidden="1">
      <c r="A10" s="19">
        <f t="shared" si="0"/>
        <v>9</v>
      </c>
      <c r="B10" s="22" t="s">
        <v>11</v>
      </c>
      <c r="C10" s="22" t="s">
        <v>177</v>
      </c>
      <c r="D10" s="22" t="s">
        <v>39</v>
      </c>
      <c r="E10" s="8">
        <v>46246</v>
      </c>
      <c r="F10" s="75">
        <v>44</v>
      </c>
      <c r="G10" s="75">
        <f>DATE(2026,8,27)-DATE(2026,8,12)</f>
        <v>15</v>
      </c>
      <c r="H10" s="75">
        <f>DATE(2026,9,11)-DATE(2026,8,27)</f>
        <v>15</v>
      </c>
      <c r="I10" s="75">
        <f>DATE(2026,9,16)-DATE(2026,9,14)</f>
        <v>2</v>
      </c>
      <c r="J10" s="75">
        <f>DATE(2026,9,22)-DATE(2026,9,16)</f>
        <v>6</v>
      </c>
      <c r="K10" s="75">
        <f>DATE(2026,9,23)-DATE(2026,9,22)</f>
        <v>1</v>
      </c>
      <c r="L10" s="75">
        <f>DATE(2026,9,25)-DATE(2026,9,23)</f>
        <v>2</v>
      </c>
      <c r="M10" s="75">
        <v>55</v>
      </c>
      <c r="N10" s="9">
        <v>700</v>
      </c>
      <c r="O10" s="9">
        <f>868+21</f>
        <v>889</v>
      </c>
      <c r="P10" s="27" t="s">
        <v>56</v>
      </c>
      <c r="Q10" s="28"/>
      <c r="R10" s="46">
        <v>46290</v>
      </c>
      <c r="S10" s="17" t="s">
        <v>57</v>
      </c>
    </row>
    <row r="11" spans="1:19" s="18" customFormat="1" ht="130.5" hidden="1">
      <c r="A11" s="19">
        <f t="shared" si="0"/>
        <v>10</v>
      </c>
      <c r="B11" s="22" t="s">
        <v>16</v>
      </c>
      <c r="C11" s="22" t="s">
        <v>179</v>
      </c>
      <c r="D11" s="22" t="s">
        <v>39</v>
      </c>
      <c r="E11" s="8">
        <v>46258</v>
      </c>
      <c r="F11" s="75">
        <f>DATE(2026,9,30)-DATE(2026,8,24)</f>
        <v>37</v>
      </c>
      <c r="G11" s="75">
        <f>DATE(2026,9,9)-DATE(2026,8,24)</f>
        <v>16</v>
      </c>
      <c r="H11" s="75">
        <f>DATE(2026,9,14)-DATE(2026,9,9)</f>
        <v>5</v>
      </c>
      <c r="I11" s="75">
        <f>DATE(2026,9,15)-DATE(2026,9,14)</f>
        <v>1</v>
      </c>
      <c r="J11" s="75">
        <f>DATE(2026,9,23)-DATE(2026,9,16)</f>
        <v>7</v>
      </c>
      <c r="K11" s="75">
        <f>DATE(2026,9,23)-DATE(2026,9,23)</f>
        <v>0</v>
      </c>
      <c r="L11" s="75">
        <f>DATE(2026,9,30)-DATE(2026,9,23)</f>
        <v>7</v>
      </c>
      <c r="M11" s="75">
        <v>60</v>
      </c>
      <c r="N11" s="9">
        <v>500</v>
      </c>
      <c r="O11" s="9">
        <f>798+21</f>
        <v>819</v>
      </c>
      <c r="P11" s="27" t="s">
        <v>61</v>
      </c>
      <c r="Q11" s="29"/>
      <c r="R11" s="47">
        <v>46295</v>
      </c>
      <c r="S11" s="17" t="s">
        <v>103</v>
      </c>
    </row>
    <row r="12" spans="1:19" s="18" customFormat="1" ht="116">
      <c r="A12" s="19">
        <f t="shared" si="0"/>
        <v>11</v>
      </c>
      <c r="B12" s="22" t="s">
        <v>15</v>
      </c>
      <c r="C12" s="22" t="s">
        <v>116</v>
      </c>
      <c r="D12" s="22" t="s">
        <v>39</v>
      </c>
      <c r="E12" s="8">
        <v>46252</v>
      </c>
      <c r="F12" s="75">
        <f>DATE(2026,10,3)-DATE(2026,8,18)</f>
        <v>46</v>
      </c>
      <c r="G12" s="75">
        <f>DATE(2026,9,14)-DATE(2026,8,18)</f>
        <v>27</v>
      </c>
      <c r="H12" s="75">
        <f>DATE(2026,9,18)-DATE(2026,9,14)</f>
        <v>4</v>
      </c>
      <c r="I12" s="75">
        <f>DATE(2026,9,22)-DATE(2026,9,18)</f>
        <v>4</v>
      </c>
      <c r="J12" s="75">
        <f>DATE(2026,9,26)-DATE(2026,9,22)</f>
        <v>4</v>
      </c>
      <c r="K12" s="75">
        <f>DATE(2026,9,29)-DATE(2026,9,26)</f>
        <v>3</v>
      </c>
      <c r="L12" s="75">
        <f>DATE(2026,10,1)-DATE(2026,9,29)</f>
        <v>2</v>
      </c>
      <c r="M12" s="75">
        <v>25</v>
      </c>
      <c r="N12" s="9">
        <v>500</v>
      </c>
      <c r="O12" s="9">
        <f>446+19</f>
        <v>465</v>
      </c>
      <c r="P12" s="27" t="s">
        <v>59</v>
      </c>
      <c r="Q12" s="29"/>
      <c r="R12" s="47">
        <v>46298</v>
      </c>
      <c r="S12" s="17" t="s">
        <v>104</v>
      </c>
    </row>
    <row r="13" spans="1:19" s="18" customFormat="1" ht="60">
      <c r="A13" s="19">
        <f t="shared" si="0"/>
        <v>12</v>
      </c>
      <c r="B13" s="22" t="s">
        <v>14</v>
      </c>
      <c r="C13" s="22" t="s">
        <v>115</v>
      </c>
      <c r="D13" s="22" t="s">
        <v>39</v>
      </c>
      <c r="E13" s="8">
        <v>46254</v>
      </c>
      <c r="F13" s="75">
        <f>DATE(2026,10,1)-DATE(2026,8,20)</f>
        <v>42</v>
      </c>
      <c r="G13" s="75">
        <f>DATE(2026,9,14)-DATE(2026,8,20)</f>
        <v>25</v>
      </c>
      <c r="H13" s="75">
        <f>DATE(2026,9,17)-DATE(2026,9,12)</f>
        <v>5</v>
      </c>
      <c r="I13" s="75">
        <f>DATE(2026,9,24)-DATE(2026,9,22)</f>
        <v>2</v>
      </c>
      <c r="J13" s="75">
        <f>DATE(2026,9,24)-DATE(2026,9,24)</f>
        <v>0</v>
      </c>
      <c r="K13" s="75">
        <f>DATE(2026,9,25)-DATE(2026,9,24)</f>
        <v>1</v>
      </c>
      <c r="L13" s="75">
        <v>8</v>
      </c>
      <c r="M13" s="75">
        <v>25</v>
      </c>
      <c r="N13" s="9">
        <v>500</v>
      </c>
      <c r="O13" s="9">
        <f>276+19</f>
        <v>295</v>
      </c>
      <c r="P13" s="27" t="s">
        <v>59</v>
      </c>
      <c r="Q13" s="29"/>
      <c r="R13" s="47">
        <v>46296</v>
      </c>
      <c r="S13" s="17" t="s">
        <v>60</v>
      </c>
    </row>
    <row r="14" spans="1:19" s="18" customFormat="1" ht="60">
      <c r="A14" s="19">
        <f t="shared" si="0"/>
        <v>13</v>
      </c>
      <c r="B14" s="22" t="s">
        <v>13</v>
      </c>
      <c r="C14" s="22" t="s">
        <v>114</v>
      </c>
      <c r="D14" s="22" t="s">
        <v>39</v>
      </c>
      <c r="E14" s="8">
        <v>46259</v>
      </c>
      <c r="F14" s="75">
        <f>DATE(2026,10,1)-DATE(2026,8,25)</f>
        <v>37</v>
      </c>
      <c r="G14" s="75">
        <f>DATE(2026,9,12)-DATE(2026,8,24)</f>
        <v>19</v>
      </c>
      <c r="H14" s="75">
        <f>DATE(2026,9,17)-DATE(2026,9,12)</f>
        <v>5</v>
      </c>
      <c r="I14" s="75">
        <f>DATE(2026,9,17)-DATE(2026,9,17)</f>
        <v>0</v>
      </c>
      <c r="J14" s="75">
        <f>DATE(2026,9,22)-DATE(2026,9,18)</f>
        <v>4</v>
      </c>
      <c r="K14" s="75">
        <f>DATE(2026,9,24)-DATE(2026,9,22)</f>
        <v>2</v>
      </c>
      <c r="L14" s="75">
        <f>DATE(2026,9,30)-DATE(2026,9,25)</f>
        <v>5</v>
      </c>
      <c r="M14" s="75">
        <v>35</v>
      </c>
      <c r="N14" s="9">
        <v>500</v>
      </c>
      <c r="O14" s="9">
        <f>324+19</f>
        <v>343</v>
      </c>
      <c r="P14" s="27" t="s">
        <v>59</v>
      </c>
      <c r="Q14" s="29"/>
      <c r="R14" s="47">
        <v>46296</v>
      </c>
      <c r="S14" s="17" t="s">
        <v>60</v>
      </c>
    </row>
    <row r="15" spans="1:19" s="18" customFormat="1" ht="60">
      <c r="A15" s="19">
        <f t="shared" si="0"/>
        <v>14</v>
      </c>
      <c r="B15" s="22" t="s">
        <v>5</v>
      </c>
      <c r="C15" s="22" t="s">
        <v>6</v>
      </c>
      <c r="D15" s="19" t="s">
        <v>39</v>
      </c>
      <c r="E15" s="150">
        <v>46204</v>
      </c>
      <c r="F15" s="32">
        <f>DATE(2026,10,6)-E15</f>
        <v>97</v>
      </c>
      <c r="G15" s="32">
        <f>DATE(2026,8,3)-DATE(2026,7,1)</f>
        <v>33</v>
      </c>
      <c r="H15" s="32">
        <f>DATE(2026,8,27)-DATE(2026,8,3)</f>
        <v>24</v>
      </c>
      <c r="I15" s="32">
        <f>DATE(2026,9,3)-DATE(2026,8,27)</f>
        <v>7</v>
      </c>
      <c r="J15" s="32">
        <f>DATE(2026,9,10)-DATE(2026,9,3)</f>
        <v>7</v>
      </c>
      <c r="K15" s="32">
        <f>DATE(2026,9,30)-DATE(2026,9,12)</f>
        <v>18</v>
      </c>
      <c r="L15" s="32">
        <f>DATE(2026,10,7)-DATE(2026,9,30)</f>
        <v>7</v>
      </c>
      <c r="M15" s="32">
        <f>DATE(2026,10,6)-DATE(2026,10,4)</f>
        <v>2</v>
      </c>
      <c r="N15" s="9">
        <v>317</v>
      </c>
      <c r="O15" s="9">
        <v>299</v>
      </c>
      <c r="P15" s="27" t="s">
        <v>52</v>
      </c>
      <c r="Q15" s="146"/>
      <c r="R15" s="148">
        <v>46301</v>
      </c>
    </row>
    <row r="16" spans="1:19" ht="60">
      <c r="A16" s="19">
        <f t="shared" si="0"/>
        <v>15</v>
      </c>
      <c r="B16" s="22" t="s">
        <v>7</v>
      </c>
      <c r="C16" s="22" t="s">
        <v>138</v>
      </c>
      <c r="D16" s="22" t="s">
        <v>39</v>
      </c>
      <c r="E16" s="150">
        <v>46204</v>
      </c>
      <c r="F16" s="32">
        <f>DATE(2026,10,12)-E16</f>
        <v>103</v>
      </c>
      <c r="G16" s="75">
        <v>35</v>
      </c>
      <c r="H16" s="75">
        <v>23</v>
      </c>
      <c r="I16" s="75">
        <v>10</v>
      </c>
      <c r="J16" s="75">
        <v>4</v>
      </c>
      <c r="K16" s="75">
        <v>18</v>
      </c>
      <c r="L16" s="75">
        <v>5</v>
      </c>
      <c r="M16" s="75">
        <v>6</v>
      </c>
      <c r="N16" s="9">
        <v>302</v>
      </c>
      <c r="O16" s="9">
        <v>333</v>
      </c>
      <c r="P16" s="110" t="s">
        <v>53</v>
      </c>
      <c r="Q16" s="146"/>
      <c r="R16" s="148">
        <v>46307</v>
      </c>
      <c r="S16" s="104"/>
    </row>
    <row r="17" spans="1:20" ht="60">
      <c r="A17" s="19">
        <f t="shared" si="0"/>
        <v>16</v>
      </c>
      <c r="B17" s="22" t="s">
        <v>38</v>
      </c>
      <c r="C17" s="22" t="s">
        <v>20</v>
      </c>
      <c r="D17" s="22" t="s">
        <v>39</v>
      </c>
      <c r="E17" s="150">
        <v>46265</v>
      </c>
      <c r="F17" s="32">
        <f>DATE(2026,10,14)-E17</f>
        <v>44</v>
      </c>
      <c r="G17" s="75">
        <f>DATE(2026,9,24)-DATE(2026,8,24)</f>
        <v>31</v>
      </c>
      <c r="H17" s="75">
        <f>DATE(2026,9,30)-DATE(2026,9,24)</f>
        <v>6</v>
      </c>
      <c r="I17" s="75">
        <f>DATE(2026,10,3)-DATE(2026,10,1)</f>
        <v>2</v>
      </c>
      <c r="J17" s="75">
        <f>DATE(2026,10,7)-DATE(2026,10,4)</f>
        <v>3</v>
      </c>
      <c r="K17" s="75">
        <f>DATE(2026,10,10)-DATE(2026,10,7)</f>
        <v>3</v>
      </c>
      <c r="L17" s="75">
        <f>DATE(2026,10,14)-DATE(2026,10,10)</f>
        <v>4</v>
      </c>
      <c r="M17" s="75">
        <v>25</v>
      </c>
      <c r="N17" s="9">
        <v>500</v>
      </c>
      <c r="O17" s="9">
        <v>385</v>
      </c>
      <c r="P17" s="27" t="s">
        <v>59</v>
      </c>
      <c r="Q17" s="22"/>
      <c r="R17" s="148">
        <v>46309</v>
      </c>
      <c r="S17" s="93"/>
    </row>
    <row r="18" spans="1:20" s="35" customFormat="1" ht="60">
      <c r="A18" s="19">
        <f>ROW()-1</f>
        <v>17</v>
      </c>
      <c r="B18" s="75" t="s">
        <v>21</v>
      </c>
      <c r="C18" s="162" t="s">
        <v>22</v>
      </c>
      <c r="D18" s="163" t="s">
        <v>39</v>
      </c>
      <c r="E18" s="150">
        <v>46269</v>
      </c>
      <c r="F18" s="151">
        <f>DATE(2026,10,26)-E18</f>
        <v>52</v>
      </c>
      <c r="G18" s="19">
        <f>DATE(2026,9,26)-DATE(2026,9,4)</f>
        <v>22</v>
      </c>
      <c r="H18" s="75">
        <f>DATE(2026,10,11)-DATE(2026,9,26)</f>
        <v>15</v>
      </c>
      <c r="I18" s="19">
        <f>DATE(2026,10,16)-DATE(2026,10,12)</f>
        <v>4</v>
      </c>
      <c r="J18" s="75">
        <f>DATE(2026,10,23)-DATE(2026,10,16)</f>
        <v>7</v>
      </c>
      <c r="K18" s="19">
        <f>DATE(2026,10,26)-DATE(2026,10,23)</f>
        <v>3</v>
      </c>
      <c r="L18" s="75">
        <f>DATE(2026,10,27)-DATE(2026,10,26)</f>
        <v>1</v>
      </c>
      <c r="M18" s="19">
        <v>14</v>
      </c>
      <c r="N18" s="75">
        <v>189</v>
      </c>
      <c r="O18" s="19">
        <v>201</v>
      </c>
      <c r="P18" s="27" t="s">
        <v>59</v>
      </c>
      <c r="Q18" s="19"/>
      <c r="R18" s="149">
        <v>46321</v>
      </c>
      <c r="S18" s="147"/>
    </row>
    <row r="19" spans="1:20" ht="110">
      <c r="A19" s="19">
        <f t="shared" si="0"/>
        <v>18</v>
      </c>
      <c r="B19" s="75" t="s">
        <v>33</v>
      </c>
      <c r="C19" s="162" t="s">
        <v>34</v>
      </c>
      <c r="D19" s="162" t="s">
        <v>39</v>
      </c>
      <c r="E19" s="187">
        <v>46286</v>
      </c>
      <c r="F19" s="19">
        <f t="shared" ref="F19" ca="1" si="1">TODAY()-E19</f>
        <v>38</v>
      </c>
      <c r="G19" s="19">
        <f>DATE(2026,10,7)-DATE(2026,9,21)</f>
        <v>16</v>
      </c>
      <c r="H19" s="19">
        <f>DATE(2026,10,21)-DATE(2026,10,8)</f>
        <v>13</v>
      </c>
      <c r="I19" s="19" t="str">
        <f>TRIM(DATE(2026,10,23)-DATE(2026,10,22))</f>
        <v>1</v>
      </c>
      <c r="J19" s="19">
        <f>DATE(2026,10,24)-DATE(2026,10,23)</f>
        <v>1</v>
      </c>
      <c r="K19" s="19">
        <f>DATE(2026,10,27)-DATE(2026,10,25)</f>
        <v>2</v>
      </c>
      <c r="L19" s="19">
        <f>DATE(2026,10,29)-DATE(2026,10,28)</f>
        <v>1</v>
      </c>
      <c r="M19" s="19">
        <v>7</v>
      </c>
      <c r="N19" s="19">
        <v>100</v>
      </c>
      <c r="O19" s="19">
        <v>83</v>
      </c>
      <c r="P19" s="27" t="s">
        <v>59</v>
      </c>
      <c r="Q19" s="27" t="s">
        <v>181</v>
      </c>
      <c r="R19" s="149">
        <v>46324</v>
      </c>
      <c r="T19" t="s">
        <v>151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2"/>
  <sheetViews>
    <sheetView topLeftCell="A8" zoomScale="133" workbookViewId="0">
      <selection activeCell="A15" sqref="A15"/>
    </sheetView>
  </sheetViews>
  <sheetFormatPr defaultRowHeight="14.5"/>
  <cols>
    <col min="1" max="1" width="18.7265625" customWidth="1"/>
    <col min="2" max="2" width="10.54296875" customWidth="1"/>
    <col min="3" max="3" width="10.453125" customWidth="1"/>
  </cols>
  <sheetData>
    <row r="1" spans="1:11" ht="26.5" thickBot="1">
      <c r="A1" s="80" t="s">
        <v>136</v>
      </c>
      <c r="B1" s="81" t="s">
        <v>124</v>
      </c>
      <c r="C1" s="78" t="s">
        <v>135</v>
      </c>
      <c r="D1" s="76"/>
      <c r="G1" s="68"/>
      <c r="H1" s="68"/>
      <c r="I1" s="68"/>
      <c r="J1" s="68"/>
      <c r="K1" s="69"/>
    </row>
    <row r="2" spans="1:11" ht="32.5" customHeight="1" thickBot="1">
      <c r="A2" s="85" t="s">
        <v>134</v>
      </c>
      <c r="B2" s="86"/>
      <c r="C2" s="87" t="s">
        <v>135</v>
      </c>
      <c r="D2" s="76"/>
      <c r="G2" s="68"/>
      <c r="H2" s="68"/>
      <c r="I2" s="68"/>
      <c r="J2" s="68"/>
      <c r="K2" s="84"/>
    </row>
    <row r="3" spans="1:11" ht="26.5" thickBot="1">
      <c r="A3" s="77" t="s">
        <v>132</v>
      </c>
      <c r="B3" s="164">
        <f>COUNTA(Table2[MPS ID])</f>
        <v>34</v>
      </c>
      <c r="C3" s="79">
        <f ca="1">AVERAGE(Table2[Current TAT (S50 onward)])</f>
        <v>23.393939393939394</v>
      </c>
      <c r="D3" s="76"/>
      <c r="G3" s="68"/>
      <c r="H3" s="68"/>
      <c r="I3" s="68"/>
      <c r="J3" s="68"/>
    </row>
    <row r="4" spans="1:11" ht="15" thickBot="1">
      <c r="A4" s="82" t="s">
        <v>133</v>
      </c>
      <c r="B4" s="111">
        <f>COUNTA(Delivered!C2:C18)</f>
        <v>17</v>
      </c>
      <c r="C4" s="83">
        <f>AVERAGE(Table3[Total Avg. Aging Days])</f>
        <v>61.3125</v>
      </c>
      <c r="D4" s="68"/>
      <c r="E4" s="68"/>
    </row>
    <row r="5" spans="1:11">
      <c r="A5" s="165"/>
      <c r="B5" s="165"/>
      <c r="C5" s="165"/>
      <c r="D5" s="165"/>
    </row>
    <row r="6" spans="1:11" ht="36">
      <c r="A6" s="168" t="s">
        <v>201</v>
      </c>
      <c r="B6" s="169" t="s">
        <v>19</v>
      </c>
      <c r="C6" s="169" t="s">
        <v>62</v>
      </c>
      <c r="D6" s="169" t="s">
        <v>120</v>
      </c>
      <c r="E6" s="169" t="s">
        <v>164</v>
      </c>
      <c r="F6" s="169" t="s">
        <v>189</v>
      </c>
      <c r="G6" s="169" t="s">
        <v>39</v>
      </c>
      <c r="H6" s="169" t="s">
        <v>206</v>
      </c>
    </row>
    <row r="7" spans="1:11">
      <c r="A7" s="5" t="s">
        <v>203</v>
      </c>
      <c r="B7" s="166">
        <f>Delivered!G2</f>
        <v>32</v>
      </c>
      <c r="C7" s="166">
        <f>Delivered!H2</f>
        <v>11</v>
      </c>
      <c r="D7" s="166">
        <f>Delivered!I2</f>
        <v>3</v>
      </c>
      <c r="E7" s="166">
        <f>Delivered!J2</f>
        <v>6</v>
      </c>
      <c r="F7" s="166">
        <f>Delivered!K2</f>
        <v>6</v>
      </c>
      <c r="G7" s="166">
        <f>Delivered!L2</f>
        <v>5</v>
      </c>
      <c r="H7" s="173">
        <v>63</v>
      </c>
    </row>
    <row r="8" spans="1:11">
      <c r="A8" s="5" t="s">
        <v>202</v>
      </c>
      <c r="B8" s="167">
        <f>AVERAGE(Delivered!G3:G11)</f>
        <v>25</v>
      </c>
      <c r="C8" s="167">
        <f>AVERAGE(Delivered!H3:H11)</f>
        <v>11.777777777777779</v>
      </c>
      <c r="D8" s="167">
        <f>AVERAGE(Delivered!I3:I11)</f>
        <v>4.1111111111111107</v>
      </c>
      <c r="E8" s="167">
        <f>AVERAGE(Delivered!J3:J11)</f>
        <v>6.8888888888888893</v>
      </c>
      <c r="F8" s="167">
        <f>AVERAGE(Delivered!K3:K11)</f>
        <v>5.8888888888888893</v>
      </c>
      <c r="G8" s="167">
        <f>AVERAGE(Delivered!L3:L11)</f>
        <v>6</v>
      </c>
      <c r="H8" s="173">
        <v>61</v>
      </c>
    </row>
    <row r="9" spans="1:11">
      <c r="A9" s="170" t="s">
        <v>204</v>
      </c>
      <c r="B9" s="171">
        <f>AVERAGE(Delivered!G12:G21)</f>
        <v>26</v>
      </c>
      <c r="C9" s="171">
        <f>AVERAGE(Delivered!H12:H21)</f>
        <v>11.875</v>
      </c>
      <c r="D9" s="171">
        <f>AVERAGE(Delivered!I12:I21)</f>
        <v>4.1428571428571432</v>
      </c>
      <c r="E9" s="171">
        <f>AVERAGE(Delivered!J12:J21)</f>
        <v>3.75</v>
      </c>
      <c r="F9" s="171">
        <f>AVERAGE(Delivered!K12:K21)</f>
        <v>6.25</v>
      </c>
      <c r="G9" s="171">
        <f>AVERAGE(Delivered!L12:L21)</f>
        <v>4.125</v>
      </c>
      <c r="H9" s="173">
        <v>60</v>
      </c>
    </row>
    <row r="10" spans="1:11" ht="29">
      <c r="A10" s="172" t="s">
        <v>205</v>
      </c>
      <c r="B10" s="173">
        <f>AVERAGE(B7:B9)</f>
        <v>27.666666666666668</v>
      </c>
      <c r="C10" s="173">
        <f t="shared" ref="C10:G10" si="0">AVERAGE(C7:C9)</f>
        <v>11.550925925925926</v>
      </c>
      <c r="D10" s="173">
        <f t="shared" si="0"/>
        <v>3.7513227513227512</v>
      </c>
      <c r="E10" s="173">
        <f t="shared" si="0"/>
        <v>5.5462962962962967</v>
      </c>
      <c r="F10" s="173">
        <f t="shared" si="0"/>
        <v>6.0462962962962967</v>
      </c>
      <c r="G10" s="173">
        <f t="shared" si="0"/>
        <v>5.041666666666667</v>
      </c>
      <c r="H10" s="5"/>
    </row>
    <row r="12" spans="1:11">
      <c r="A12" s="174" t="s">
        <v>207</v>
      </c>
      <c r="B12" s="174">
        <v>37</v>
      </c>
    </row>
    <row r="13" spans="1:11">
      <c r="A13" s="174" t="s">
        <v>208</v>
      </c>
      <c r="B13" s="174">
        <v>103</v>
      </c>
    </row>
    <row r="15" spans="1:11">
      <c r="A15" t="s">
        <v>24</v>
      </c>
      <c r="B15" t="s">
        <v>216</v>
      </c>
    </row>
    <row r="16" spans="1:11">
      <c r="A16" t="s">
        <v>214</v>
      </c>
      <c r="B16" t="s">
        <v>216</v>
      </c>
    </row>
    <row r="17" spans="1:2">
      <c r="A17" s="5" t="s">
        <v>19</v>
      </c>
      <c r="B17" s="5" t="s">
        <v>232</v>
      </c>
    </row>
    <row r="18" spans="1:2">
      <c r="A18" s="5" t="s">
        <v>62</v>
      </c>
      <c r="B18" s="5" t="s">
        <v>233</v>
      </c>
    </row>
    <row r="19" spans="1:2">
      <c r="A19" s="5" t="s">
        <v>120</v>
      </c>
      <c r="B19" s="5" t="s">
        <v>233</v>
      </c>
    </row>
    <row r="20" spans="1:2">
      <c r="A20" s="5" t="s">
        <v>164</v>
      </c>
      <c r="B20" s="186" t="s">
        <v>234</v>
      </c>
    </row>
    <row r="21" spans="1:2">
      <c r="A21" s="5" t="s">
        <v>215</v>
      </c>
      <c r="B21" s="186" t="s">
        <v>235</v>
      </c>
    </row>
    <row r="22" spans="1:2">
      <c r="A22" s="5" t="s">
        <v>39</v>
      </c>
      <c r="B22" s="186" t="s">
        <v>236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63"/>
      <c r="F2" s="63"/>
      <c r="G2" s="63"/>
      <c r="H2" s="63"/>
      <c r="I2" s="63"/>
      <c r="J2" s="63"/>
    </row>
    <row r="3" spans="2:10">
      <c r="B3" s="188" t="s">
        <v>117</v>
      </c>
      <c r="C3" s="188"/>
      <c r="E3" s="63"/>
      <c r="F3" s="64"/>
      <c r="G3" s="63"/>
      <c r="H3" s="63"/>
      <c r="I3" s="63"/>
      <c r="J3" s="63"/>
    </row>
    <row r="4" spans="2:10">
      <c r="B4" s="50" t="s">
        <v>100</v>
      </c>
      <c r="C4" s="50">
        <v>15</v>
      </c>
      <c r="E4" s="63"/>
      <c r="F4" s="64"/>
      <c r="G4" s="63"/>
      <c r="H4" s="63"/>
      <c r="I4" s="63"/>
      <c r="J4" s="63"/>
    </row>
    <row r="5" spans="2:10">
      <c r="B5" s="57" t="s">
        <v>101</v>
      </c>
      <c r="C5" s="58" t="s">
        <v>105</v>
      </c>
      <c r="E5" s="63"/>
      <c r="F5" s="63"/>
      <c r="G5" s="65"/>
      <c r="H5" s="66"/>
      <c r="I5" s="63"/>
      <c r="J5" s="63"/>
    </row>
    <row r="6" spans="2:10">
      <c r="B6" s="59">
        <v>46235</v>
      </c>
      <c r="C6" s="60">
        <f>COUNTIFS(Delivered!$R:$R,"&gt;="&amp;B6,Delivered!$R:$R,"&lt;"&amp;EDATE(B6,1))</f>
        <v>1</v>
      </c>
      <c r="E6" s="63"/>
      <c r="F6" s="63"/>
      <c r="G6" s="67"/>
      <c r="H6" s="66"/>
      <c r="I6" s="63"/>
      <c r="J6" s="63"/>
    </row>
    <row r="7" spans="2:10">
      <c r="B7" s="59">
        <v>46266</v>
      </c>
      <c r="C7" s="60">
        <f>COUNTIFS(Delivered!$R:$R,"&gt;="&amp;B7,Delivered!$R:$R,"&lt;"&amp;EDATE(B7,1))</f>
        <v>9</v>
      </c>
      <c r="E7" s="63"/>
      <c r="F7" s="63"/>
      <c r="G7" s="67"/>
      <c r="H7" s="66"/>
      <c r="I7" s="63"/>
      <c r="J7" s="63"/>
    </row>
    <row r="8" spans="2:10">
      <c r="B8" s="59">
        <v>46296</v>
      </c>
      <c r="C8" s="60">
        <f>COUNTIFS(Delivered!$R:$R,"&gt;="&amp;B8,Delivered!$R:$R,"&lt;"&amp;EDATE(B8,1))</f>
        <v>8</v>
      </c>
      <c r="E8" s="63"/>
      <c r="F8" s="63"/>
      <c r="G8" s="65"/>
      <c r="H8" s="66"/>
      <c r="I8" s="63"/>
      <c r="J8" s="63"/>
    </row>
    <row r="9" spans="2:10">
      <c r="B9" s="59">
        <v>46327</v>
      </c>
      <c r="C9" s="60">
        <f>COUNTIFS(Delivered!$R:$R,"&gt;="&amp;B9,Delivered!$R:$R,"&lt;"&amp;EDATE(B9,1))</f>
        <v>0</v>
      </c>
      <c r="E9" s="63"/>
      <c r="F9" s="63"/>
      <c r="G9" s="63"/>
      <c r="H9" s="63"/>
      <c r="I9" s="63"/>
      <c r="J9" s="63"/>
    </row>
    <row r="10" spans="2:10">
      <c r="B10" s="61">
        <v>46357</v>
      </c>
      <c r="C10" s="62">
        <f>COUNTIFS(Delivered!$R:$R,"&gt;="&amp;B10,Delivered!$R:$R,"&lt;"&amp;EDATE(B10,1))</f>
        <v>0</v>
      </c>
      <c r="E10" s="63"/>
      <c r="F10" s="63"/>
      <c r="G10" s="63"/>
      <c r="H10" s="63"/>
      <c r="I10" s="63"/>
      <c r="J10" s="63"/>
    </row>
    <row r="11" spans="2:10">
      <c r="E11" s="63"/>
      <c r="F11" s="63"/>
      <c r="G11" s="63"/>
      <c r="H11" s="63"/>
      <c r="I11" s="63"/>
      <c r="J11" s="63"/>
    </row>
    <row r="12" spans="2:10">
      <c r="E12" s="63"/>
      <c r="F12" s="63"/>
      <c r="G12" s="63"/>
      <c r="H12" s="63"/>
      <c r="I12" s="63"/>
      <c r="J12" s="63"/>
    </row>
    <row r="13" spans="2:10">
      <c r="E13" s="63"/>
      <c r="F13" s="63"/>
      <c r="G13" s="63"/>
      <c r="H13" s="63"/>
      <c r="I13" s="63"/>
      <c r="J13" s="63"/>
    </row>
    <row r="14" spans="2:10">
      <c r="E14" s="63"/>
      <c r="F14" s="63"/>
      <c r="G14" s="63"/>
      <c r="H14" s="63"/>
      <c r="I14" s="63"/>
      <c r="J14" s="63"/>
    </row>
    <row r="15" spans="2:10">
      <c r="E15" s="63"/>
      <c r="F15" s="63"/>
      <c r="G15" s="63"/>
      <c r="H15" s="63"/>
      <c r="I15" s="63"/>
      <c r="J15" s="63"/>
    </row>
    <row r="16" spans="2:10">
      <c r="E16" s="63"/>
      <c r="F16" s="63"/>
      <c r="G16" s="63"/>
      <c r="H16" s="63"/>
      <c r="I16" s="63"/>
      <c r="J16" s="63"/>
    </row>
    <row r="17" spans="5:10">
      <c r="E17" s="63"/>
      <c r="F17" s="63"/>
      <c r="G17" s="63"/>
      <c r="H17" s="63"/>
      <c r="I17" s="63"/>
      <c r="J17" s="6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52"/>
  <sheetViews>
    <sheetView workbookViewId="0">
      <selection activeCell="C2" sqref="C2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43" bestFit="1" customWidth="1" outlineLevel="2"/>
    <col min="6" max="6" width="23.08984375" customWidth="1" outlineLevel="2"/>
    <col min="8" max="8" width="21.36328125" bestFit="1" customWidth="1"/>
  </cols>
  <sheetData>
    <row r="1" spans="1:20">
      <c r="C1" t="s">
        <v>249</v>
      </c>
    </row>
    <row r="2" spans="1:20" s="18" customFormat="1" ht="120">
      <c r="A2" s="36">
        <v>1</v>
      </c>
      <c r="B2" s="71" t="s">
        <v>33</v>
      </c>
      <c r="C2" s="101" t="s">
        <v>34</v>
      </c>
      <c r="D2" s="24" t="s">
        <v>39</v>
      </c>
      <c r="E2" s="26">
        <v>46286</v>
      </c>
      <c r="F2" s="24">
        <f ca="1">TODAY()-E2</f>
        <v>38</v>
      </c>
      <c r="G2" s="24">
        <f>DATE(2026,10,7)-DATE(2026,9,21)</f>
        <v>16</v>
      </c>
      <c r="H2" s="91">
        <f>DATE(2026,10,21)-DATE(2026,10,8)</f>
        <v>13</v>
      </c>
      <c r="I2" s="91" t="str">
        <f>TRIM(DATE(2026,10,23)-DATE(2026,10,22))</f>
        <v>1</v>
      </c>
      <c r="J2" s="91">
        <f>DATE(2026,10,24)-DATE(2026,10,23)</f>
        <v>1</v>
      </c>
      <c r="K2" s="91">
        <f>DATE(2026,10,27)-DATE(2026,10,25)</f>
        <v>2</v>
      </c>
      <c r="L2" s="88">
        <f>DATE(2026,10,29)-DATE(2026,10,28)</f>
        <v>1</v>
      </c>
      <c r="M2" s="24">
        <v>7</v>
      </c>
      <c r="N2" s="24">
        <v>100</v>
      </c>
      <c r="O2" s="96" t="s">
        <v>59</v>
      </c>
      <c r="P2" s="95"/>
      <c r="Q2" s="133" t="s">
        <v>181</v>
      </c>
      <c r="R2" s="89"/>
      <c r="S2" s="89" t="s">
        <v>151</v>
      </c>
      <c r="T2" s="158"/>
    </row>
    <row r="17" spans="2:11">
      <c r="B17" s="5"/>
      <c r="C17" s="106" t="s">
        <v>147</v>
      </c>
      <c r="D17" s="107">
        <f>COUNTA(D20:D52)</f>
        <v>33</v>
      </c>
      <c r="E17" s="10"/>
    </row>
    <row r="18" spans="2:11" ht="15" thickBot="1">
      <c r="B18" s="5"/>
      <c r="C18" s="108" t="s">
        <v>162</v>
      </c>
      <c r="D18" s="109">
        <v>17</v>
      </c>
      <c r="E18" s="109" t="s">
        <v>163</v>
      </c>
    </row>
    <row r="19" spans="2:11" ht="15" thickBot="1">
      <c r="B19" s="7" t="s">
        <v>167</v>
      </c>
      <c r="C19" s="13" t="s">
        <v>2</v>
      </c>
      <c r="D19" s="12" t="s">
        <v>3</v>
      </c>
      <c r="E19" s="105" t="s">
        <v>40</v>
      </c>
      <c r="F19" s="114" t="s">
        <v>51</v>
      </c>
    </row>
    <row r="20" spans="2:11">
      <c r="B20" s="10">
        <v>1</v>
      </c>
      <c r="C20" s="113" t="s">
        <v>18</v>
      </c>
      <c r="D20" s="112" t="s">
        <v>164</v>
      </c>
      <c r="E20" s="115">
        <v>64</v>
      </c>
      <c r="F20" s="5"/>
    </row>
    <row r="21" spans="2:11">
      <c r="B21" s="10">
        <v>2</v>
      </c>
      <c r="C21" s="101" t="s">
        <v>36</v>
      </c>
      <c r="D21" s="24" t="s">
        <v>189</v>
      </c>
      <c r="E21" s="118">
        <v>40</v>
      </c>
      <c r="F21" s="17"/>
    </row>
    <row r="22" spans="2:11" ht="45.5" customHeight="1">
      <c r="B22" s="10">
        <v>3</v>
      </c>
      <c r="C22" s="25" t="s">
        <v>157</v>
      </c>
      <c r="D22" s="24" t="s">
        <v>120</v>
      </c>
      <c r="E22" s="24">
        <v>39</v>
      </c>
      <c r="F22" s="5"/>
    </row>
    <row r="23" spans="2:11">
      <c r="B23" s="10">
        <v>4</v>
      </c>
      <c r="C23" s="101" t="s">
        <v>159</v>
      </c>
      <c r="D23" s="122" t="s">
        <v>164</v>
      </c>
      <c r="E23" s="117">
        <v>39</v>
      </c>
      <c r="F23" s="5"/>
    </row>
    <row r="24" spans="2:11">
      <c r="B24" s="10">
        <v>5</v>
      </c>
      <c r="C24" s="25" t="s">
        <v>158</v>
      </c>
      <c r="D24" s="24" t="s">
        <v>120</v>
      </c>
      <c r="E24" s="24">
        <v>39</v>
      </c>
      <c r="F24" s="5"/>
    </row>
    <row r="25" spans="2:11" ht="29">
      <c r="B25" s="10">
        <v>6</v>
      </c>
      <c r="C25" s="101" t="s">
        <v>34</v>
      </c>
      <c r="D25" s="24" t="s">
        <v>189</v>
      </c>
      <c r="E25" s="116">
        <v>36</v>
      </c>
      <c r="F25" s="5"/>
      <c r="G25" s="71" t="s">
        <v>95</v>
      </c>
      <c r="H25" s="156" t="s">
        <v>190</v>
      </c>
      <c r="I25" s="156">
        <v>30</v>
      </c>
      <c r="J25" s="156" t="s">
        <v>191</v>
      </c>
      <c r="K25" s="156" t="s">
        <v>192</v>
      </c>
    </row>
    <row r="26" spans="2:11" ht="29">
      <c r="B26" s="10">
        <v>7</v>
      </c>
      <c r="C26" s="25" t="s">
        <v>155</v>
      </c>
      <c r="D26" s="24" t="s">
        <v>120</v>
      </c>
      <c r="E26" s="24">
        <v>34</v>
      </c>
      <c r="F26" s="5"/>
      <c r="G26" s="71" t="s">
        <v>95</v>
      </c>
      <c r="H26" s="156" t="s">
        <v>190</v>
      </c>
      <c r="I26" s="156">
        <v>46</v>
      </c>
      <c r="J26" s="156" t="s">
        <v>191</v>
      </c>
      <c r="K26" s="156" t="s">
        <v>192</v>
      </c>
    </row>
    <row r="27" spans="2:11" ht="29">
      <c r="B27" s="10">
        <v>8</v>
      </c>
      <c r="C27" s="25" t="s">
        <v>156</v>
      </c>
      <c r="D27" s="24" t="s">
        <v>62</v>
      </c>
      <c r="E27" s="24">
        <v>34</v>
      </c>
      <c r="F27" s="5"/>
      <c r="G27" s="71" t="s">
        <v>95</v>
      </c>
      <c r="H27" s="156" t="s">
        <v>193</v>
      </c>
      <c r="I27" s="156">
        <v>58</v>
      </c>
      <c r="J27" s="156" t="s">
        <v>191</v>
      </c>
      <c r="K27" s="156" t="s">
        <v>192</v>
      </c>
    </row>
    <row r="28" spans="2:11">
      <c r="B28" s="10">
        <v>9</v>
      </c>
      <c r="C28" s="41" t="s">
        <v>160</v>
      </c>
      <c r="D28" s="42" t="s">
        <v>120</v>
      </c>
      <c r="E28" s="24">
        <v>33</v>
      </c>
      <c r="F28" s="5"/>
    </row>
    <row r="29" spans="2:11">
      <c r="B29" s="10">
        <v>10</v>
      </c>
      <c r="C29" s="41" t="s">
        <v>153</v>
      </c>
      <c r="D29" s="42" t="s">
        <v>120</v>
      </c>
      <c r="E29" s="24">
        <v>31</v>
      </c>
      <c r="F29" s="5"/>
    </row>
    <row r="30" spans="2:11">
      <c r="B30" s="10">
        <v>11</v>
      </c>
      <c r="C30" s="25" t="s">
        <v>154</v>
      </c>
      <c r="D30" s="42" t="s">
        <v>62</v>
      </c>
      <c r="E30" s="118">
        <v>31</v>
      </c>
      <c r="F30" s="5"/>
    </row>
    <row r="31" spans="2:11">
      <c r="B31" s="10">
        <v>12</v>
      </c>
      <c r="C31" s="25" t="s">
        <v>87</v>
      </c>
      <c r="D31" s="24" t="s">
        <v>62</v>
      </c>
      <c r="E31" s="118">
        <v>31</v>
      </c>
      <c r="F31" s="5"/>
    </row>
    <row r="32" spans="2:11">
      <c r="B32" s="10">
        <v>13</v>
      </c>
      <c r="C32" s="25" t="s">
        <v>83</v>
      </c>
      <c r="D32" s="24" t="s">
        <v>62</v>
      </c>
      <c r="E32" s="3">
        <v>30</v>
      </c>
      <c r="F32" s="5"/>
    </row>
    <row r="33" spans="2:6">
      <c r="B33" s="10">
        <v>14</v>
      </c>
      <c r="C33" s="25" t="s">
        <v>96</v>
      </c>
      <c r="D33" s="24" t="s">
        <v>62</v>
      </c>
      <c r="E33" s="24">
        <v>29</v>
      </c>
      <c r="F33" s="5"/>
    </row>
    <row r="34" spans="2:6" ht="28.5">
      <c r="B34" s="10">
        <v>15</v>
      </c>
      <c r="C34" s="142" t="s">
        <v>97</v>
      </c>
      <c r="D34" s="143" t="s">
        <v>19</v>
      </c>
      <c r="E34" s="118">
        <v>28</v>
      </c>
      <c r="F34" s="5"/>
    </row>
    <row r="35" spans="2:6">
      <c r="B35" s="10">
        <v>16</v>
      </c>
      <c r="C35" s="25" t="s">
        <v>161</v>
      </c>
      <c r="D35" s="3" t="s">
        <v>19</v>
      </c>
      <c r="E35" s="24">
        <v>27</v>
      </c>
      <c r="F35" s="5"/>
    </row>
    <row r="36" spans="2:6">
      <c r="B36" s="10">
        <v>17</v>
      </c>
      <c r="C36" s="142" t="s">
        <v>91</v>
      </c>
      <c r="D36" s="145" t="s">
        <v>19</v>
      </c>
      <c r="E36" s="118">
        <v>27</v>
      </c>
      <c r="F36" s="5"/>
    </row>
    <row r="37" spans="2:6">
      <c r="B37" s="10">
        <v>18</v>
      </c>
      <c r="C37" s="142" t="s">
        <v>98</v>
      </c>
      <c r="D37" s="145" t="s">
        <v>19</v>
      </c>
      <c r="E37" s="118">
        <v>27</v>
      </c>
      <c r="F37" s="5"/>
    </row>
    <row r="38" spans="2:6">
      <c r="B38" s="10">
        <v>19</v>
      </c>
      <c r="C38" s="144" t="s">
        <v>140</v>
      </c>
      <c r="D38" s="145" t="s">
        <v>19</v>
      </c>
      <c r="E38" s="3">
        <v>20</v>
      </c>
      <c r="F38" s="5"/>
    </row>
    <row r="39" spans="2:6">
      <c r="B39" s="10">
        <v>20</v>
      </c>
      <c r="C39" s="25" t="s">
        <v>93</v>
      </c>
      <c r="D39" s="3" t="s">
        <v>19</v>
      </c>
      <c r="E39" s="10">
        <v>20</v>
      </c>
      <c r="F39" s="5"/>
    </row>
    <row r="40" spans="2:6">
      <c r="B40" s="10">
        <v>21</v>
      </c>
      <c r="C40" s="25" t="s">
        <v>119</v>
      </c>
      <c r="D40" s="3" t="s">
        <v>185</v>
      </c>
      <c r="E40" s="118">
        <v>15</v>
      </c>
      <c r="F40" s="5"/>
    </row>
    <row r="41" spans="2:6">
      <c r="B41" s="10">
        <v>22</v>
      </c>
      <c r="C41" s="25" t="s">
        <v>110</v>
      </c>
      <c r="D41" s="3" t="s">
        <v>19</v>
      </c>
      <c r="E41" s="10">
        <v>15</v>
      </c>
      <c r="F41" s="5" t="s">
        <v>171</v>
      </c>
    </row>
    <row r="42" spans="2:6">
      <c r="B42" s="10">
        <v>23</v>
      </c>
      <c r="C42" s="25" t="s">
        <v>113</v>
      </c>
      <c r="D42" s="3" t="s">
        <v>19</v>
      </c>
      <c r="E42" s="10">
        <v>13</v>
      </c>
      <c r="F42" s="5"/>
    </row>
    <row r="43" spans="2:6">
      <c r="B43" s="10">
        <v>24</v>
      </c>
      <c r="C43" s="142" t="s">
        <v>123</v>
      </c>
      <c r="D43" s="145" t="s">
        <v>19</v>
      </c>
      <c r="E43" s="10">
        <v>10</v>
      </c>
      <c r="F43" s="5"/>
    </row>
    <row r="44" spans="2:6" ht="28">
      <c r="B44" s="10">
        <v>25</v>
      </c>
      <c r="C44" s="25" t="s">
        <v>172</v>
      </c>
      <c r="D44" s="3" t="s">
        <v>141</v>
      </c>
      <c r="E44" s="10">
        <v>10</v>
      </c>
      <c r="F44" s="5"/>
    </row>
    <row r="45" spans="2:6" ht="28">
      <c r="B45" s="10">
        <v>26</v>
      </c>
      <c r="C45" s="25" t="s">
        <v>173</v>
      </c>
      <c r="D45" s="3" t="s">
        <v>19</v>
      </c>
      <c r="E45" s="10">
        <v>10</v>
      </c>
      <c r="F45" s="5"/>
    </row>
    <row r="46" spans="2:6">
      <c r="B46" s="10">
        <v>27</v>
      </c>
      <c r="C46" s="25" t="s">
        <v>143</v>
      </c>
      <c r="D46" s="3" t="s">
        <v>141</v>
      </c>
      <c r="E46" s="10">
        <v>6</v>
      </c>
      <c r="F46" s="5"/>
    </row>
    <row r="47" spans="2:6">
      <c r="B47" s="10">
        <v>28</v>
      </c>
      <c r="C47" s="25" t="s">
        <v>145</v>
      </c>
      <c r="D47" s="3" t="s">
        <v>19</v>
      </c>
      <c r="E47" s="10">
        <v>6</v>
      </c>
      <c r="F47" s="5"/>
    </row>
    <row r="48" spans="2:6">
      <c r="B48" s="10">
        <v>29</v>
      </c>
      <c r="C48" s="25" t="s">
        <v>175</v>
      </c>
      <c r="D48" s="3" t="s">
        <v>24</v>
      </c>
      <c r="E48" s="10">
        <v>6</v>
      </c>
      <c r="F48" s="5"/>
    </row>
    <row r="49" spans="2:6">
      <c r="B49" s="10">
        <v>30</v>
      </c>
      <c r="C49" s="157" t="s">
        <v>195</v>
      </c>
      <c r="D49" s="3" t="s">
        <v>24</v>
      </c>
      <c r="E49" s="10">
        <v>1</v>
      </c>
      <c r="F49" s="5"/>
    </row>
    <row r="50" spans="2:6" ht="29">
      <c r="B50" s="10">
        <v>31</v>
      </c>
      <c r="C50" s="157" t="s">
        <v>196</v>
      </c>
      <c r="D50" s="3" t="s">
        <v>24</v>
      </c>
      <c r="E50" s="10">
        <v>0</v>
      </c>
      <c r="F50" s="5"/>
    </row>
    <row r="51" spans="2:6">
      <c r="B51" s="10">
        <v>32</v>
      </c>
      <c r="C51" s="157" t="s">
        <v>200</v>
      </c>
      <c r="D51" s="3" t="s">
        <v>24</v>
      </c>
      <c r="E51" s="10">
        <v>0</v>
      </c>
      <c r="F51" s="5"/>
    </row>
    <row r="52" spans="2:6">
      <c r="B52" s="10">
        <v>33</v>
      </c>
      <c r="C52" s="157" t="s">
        <v>198</v>
      </c>
      <c r="D52" s="3" t="s">
        <v>24</v>
      </c>
      <c r="E52" s="10">
        <v>0</v>
      </c>
      <c r="F52" s="5"/>
    </row>
  </sheetData>
  <sortState ref="C49:E81">
    <sortCondition descending="1" ref="E49:E8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2026-10-29T09:14:46Z</dcterms:modified>
</cp:coreProperties>
</file>